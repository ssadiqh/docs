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Ai Projects\docs\AI-103\"/>
    </mc:Choice>
  </mc:AlternateContent>
  <xr:revisionPtr revIDLastSave="0" documentId="13_ncr:1_{B2AD247E-F9CA-4ABE-B950-67154ADB1902}" xr6:coauthVersionLast="47" xr6:coauthVersionMax="47" xr10:uidLastSave="{00000000-0000-0000-0000-000000000000}"/>
  <bookViews>
    <workbookView xWindow="-120" yWindow="-120" windowWidth="29040" windowHeight="15720" activeTab="5" xr2:uid="{00000000-000D-0000-FFFF-FFFF00000000}"/>
  </bookViews>
  <sheets>
    <sheet name="Sheet2" sheetId="9" r:id="rId1"/>
    <sheet name="Sheet2 (2)" sheetId="11" r:id="rId2"/>
    <sheet name="Dashboard" sheetId="1" r:id="rId3"/>
    <sheet name="6-Week Schedule" sheetId="2" r:id="rId4"/>
    <sheet name="Sheet1" sheetId="8" r:id="rId5"/>
    <sheet name="Sheet5" sheetId="12" r:id="rId6"/>
    <sheet name="Weekly Summary" sheetId="3" r:id="rId7"/>
    <sheet name="Udemy Concept Coverage" sheetId="4" r:id="rId8"/>
    <sheet name="Udemy Lab Coverage" sheetId="5" r:id="rId9"/>
    <sheet name="Exam Coverage Map" sheetId="6" r:id="rId10"/>
    <sheet name="Source Notes" sheetId="7" r:id="rId11"/>
  </sheets>
  <definedNames>
    <definedName name="_xlnm._FilterDatabase" localSheetId="4" hidden="1">Sheet1!$A$1:$R$44</definedName>
    <definedName name="_xlnm._FilterDatabase" localSheetId="0" hidden="1">Sheet2!$C$1:$J$52</definedName>
    <definedName name="_xlnm._FilterDatabase" localSheetId="1" hidden="1">'Sheet2 (2)'!$C$1:$J$53</definedName>
    <definedName name="_xlnm._FilterDatabase" localSheetId="5" hidden="1">Sheet5!$G$2:$M$72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3" l="1"/>
  <c r="E7" i="3"/>
  <c r="D7" i="3"/>
  <c r="C7" i="3"/>
  <c r="G7" i="3" s="1"/>
  <c r="F6" i="3"/>
  <c r="E6" i="3"/>
  <c r="D6" i="3"/>
  <c r="C6" i="3"/>
  <c r="G6" i="3" s="1"/>
  <c r="F5" i="3"/>
  <c r="H7" i="1" s="1"/>
  <c r="E5" i="3"/>
  <c r="D5" i="3"/>
  <c r="C5" i="3"/>
  <c r="G5" i="3" s="1"/>
  <c r="F4" i="3"/>
  <c r="E4" i="3"/>
  <c r="G6" i="1" s="1"/>
  <c r="D4" i="3"/>
  <c r="C4" i="3"/>
  <c r="G4" i="3" s="1"/>
  <c r="F3" i="3"/>
  <c r="E3" i="3"/>
  <c r="D3" i="3"/>
  <c r="F5" i="1" s="1"/>
  <c r="C3" i="3"/>
  <c r="G3" i="3" s="1"/>
  <c r="G2" i="3"/>
  <c r="F2" i="3"/>
  <c r="F8" i="3" s="1"/>
  <c r="E2" i="3"/>
  <c r="E8" i="3" s="1"/>
  <c r="D2" i="3"/>
  <c r="D8" i="3" s="1"/>
  <c r="C2" i="3"/>
  <c r="E11" i="1" s="1"/>
  <c r="M43" i="2"/>
  <c r="L43" i="2"/>
  <c r="K43" i="2"/>
  <c r="M42" i="2"/>
  <c r="K42" i="2"/>
  <c r="L42" i="2" s="1"/>
  <c r="K41" i="2"/>
  <c r="L41" i="2" s="1"/>
  <c r="K40" i="2"/>
  <c r="M40" i="2" s="1"/>
  <c r="L39" i="2"/>
  <c r="K39" i="2"/>
  <c r="M39" i="2" s="1"/>
  <c r="L38" i="2"/>
  <c r="K38" i="2"/>
  <c r="M38" i="2" s="1"/>
  <c r="M37" i="2"/>
  <c r="L37" i="2"/>
  <c r="K37" i="2"/>
  <c r="K36" i="2"/>
  <c r="M36" i="2" s="1"/>
  <c r="K35" i="2"/>
  <c r="M35" i="2" s="1"/>
  <c r="M34" i="2"/>
  <c r="K34" i="2"/>
  <c r="L34" i="2" s="1"/>
  <c r="K33" i="2"/>
  <c r="L33" i="2" s="1"/>
  <c r="K32" i="2"/>
  <c r="M32" i="2" s="1"/>
  <c r="L31" i="2"/>
  <c r="K31" i="2"/>
  <c r="M31" i="2" s="1"/>
  <c r="L30" i="2"/>
  <c r="K30" i="2"/>
  <c r="M30" i="2" s="1"/>
  <c r="M29" i="2"/>
  <c r="L29" i="2"/>
  <c r="K29" i="2"/>
  <c r="K28" i="2"/>
  <c r="M28" i="2" s="1"/>
  <c r="K27" i="2"/>
  <c r="M27" i="2" s="1"/>
  <c r="M26" i="2"/>
  <c r="K26" i="2"/>
  <c r="L26" i="2" s="1"/>
  <c r="K25" i="2"/>
  <c r="L25" i="2" s="1"/>
  <c r="K24" i="2"/>
  <c r="L24" i="2" s="1"/>
  <c r="L23" i="2"/>
  <c r="K23" i="2"/>
  <c r="M23" i="2" s="1"/>
  <c r="L22" i="2"/>
  <c r="K22" i="2"/>
  <c r="M22" i="2" s="1"/>
  <c r="M21" i="2"/>
  <c r="L21" i="2"/>
  <c r="K21" i="2"/>
  <c r="K20" i="2"/>
  <c r="M20" i="2" s="1"/>
  <c r="K19" i="2"/>
  <c r="L19" i="2" s="1"/>
  <c r="M18" i="2"/>
  <c r="K18" i="2"/>
  <c r="L18" i="2" s="1"/>
  <c r="K17" i="2"/>
  <c r="L17" i="2" s="1"/>
  <c r="K16" i="2"/>
  <c r="L16" i="2" s="1"/>
  <c r="L15" i="2"/>
  <c r="K15" i="2"/>
  <c r="M15" i="2" s="1"/>
  <c r="L14" i="2"/>
  <c r="K14" i="2"/>
  <c r="M14" i="2" s="1"/>
  <c r="M13" i="2"/>
  <c r="L13" i="2"/>
  <c r="K13" i="2"/>
  <c r="K12" i="2"/>
  <c r="M12" i="2" s="1"/>
  <c r="K11" i="2"/>
  <c r="M11" i="2" s="1"/>
  <c r="M10" i="2"/>
  <c r="K10" i="2"/>
  <c r="L10" i="2" s="1"/>
  <c r="K9" i="2"/>
  <c r="L9" i="2" s="1"/>
  <c r="K8" i="2"/>
  <c r="M8" i="2" s="1"/>
  <c r="L7" i="2"/>
  <c r="K7" i="2"/>
  <c r="M7" i="2" s="1"/>
  <c r="L6" i="2"/>
  <c r="K6" i="2"/>
  <c r="M6" i="2" s="1"/>
  <c r="M5" i="2"/>
  <c r="L5" i="2"/>
  <c r="K5" i="2"/>
  <c r="K4" i="2"/>
  <c r="M4" i="2" s="1"/>
  <c r="K3" i="2"/>
  <c r="L3" i="2" s="1"/>
  <c r="M2" i="2"/>
  <c r="K2" i="2"/>
  <c r="L2" i="2" s="1"/>
  <c r="B12" i="1"/>
  <c r="H11" i="1"/>
  <c r="G11" i="1"/>
  <c r="F11" i="1"/>
  <c r="B11" i="1"/>
  <c r="H9" i="1"/>
  <c r="G9" i="1"/>
  <c r="F9" i="1"/>
  <c r="E9" i="1"/>
  <c r="H8" i="1"/>
  <c r="G8" i="1"/>
  <c r="F8" i="1"/>
  <c r="E8" i="1"/>
  <c r="G7" i="1"/>
  <c r="F7" i="1"/>
  <c r="E7" i="1"/>
  <c r="H6" i="1"/>
  <c r="F6" i="1"/>
  <c r="E6" i="1"/>
  <c r="H5" i="1"/>
  <c r="G5" i="1"/>
  <c r="E5" i="1"/>
  <c r="H4" i="1"/>
  <c r="G4" i="1"/>
  <c r="F4" i="1"/>
  <c r="I4" i="3" l="1"/>
  <c r="J6" i="1" s="1"/>
  <c r="H4" i="3"/>
  <c r="I6" i="1" s="1"/>
  <c r="I6" i="3"/>
  <c r="J8" i="1" s="1"/>
  <c r="H6" i="3"/>
  <c r="I8" i="1" s="1"/>
  <c r="G8" i="3"/>
  <c r="I8" i="3" s="1"/>
  <c r="I3" i="3"/>
  <c r="J5" i="1" s="1"/>
  <c r="H3" i="3"/>
  <c r="I5" i="1" s="1"/>
  <c r="I5" i="3"/>
  <c r="J7" i="1" s="1"/>
  <c r="H5" i="3"/>
  <c r="I7" i="1" s="1"/>
  <c r="H7" i="3"/>
  <c r="I9" i="1" s="1"/>
  <c r="I7" i="3"/>
  <c r="J9" i="1" s="1"/>
  <c r="L4" i="2"/>
  <c r="M9" i="2"/>
  <c r="L12" i="2"/>
  <c r="M17" i="2"/>
  <c r="L20" i="2"/>
  <c r="M25" i="2"/>
  <c r="L28" i="2"/>
  <c r="M33" i="2"/>
  <c r="L36" i="2"/>
  <c r="M41" i="2"/>
  <c r="L8" i="2"/>
  <c r="C8" i="3"/>
  <c r="M3" i="2"/>
  <c r="M19" i="2"/>
  <c r="J11" i="1"/>
  <c r="E4" i="1"/>
  <c r="L40" i="2"/>
  <c r="H2" i="3"/>
  <c r="L32" i="2"/>
  <c r="L11" i="2"/>
  <c r="M16" i="2"/>
  <c r="M24" i="2"/>
  <c r="L27" i="2"/>
  <c r="L35" i="2"/>
  <c r="I2" i="3"/>
  <c r="J4" i="1" s="1"/>
  <c r="I11" i="1" l="1"/>
  <c r="H8" i="3"/>
  <c r="B7" i="1"/>
  <c r="I4" i="1"/>
  <c r="B8" i="1"/>
  <c r="B4" i="1" l="1"/>
  <c r="B5" i="1"/>
  <c r="B6" i="1"/>
</calcChain>
</file>

<file path=xl/sharedStrings.xml><?xml version="1.0" encoding="utf-8"?>
<sst xmlns="http://schemas.openxmlformats.org/spreadsheetml/2006/main" count="1997" uniqueCount="588">
  <si>
    <t>AI-103 6-Week Study Schedule — Updated Balanced Plan</t>
  </si>
  <si>
    <t>Metric</t>
  </si>
  <si>
    <t>Value</t>
  </si>
  <si>
    <t>Week</t>
  </si>
  <si>
    <t>MS</t>
  </si>
  <si>
    <t>Udemy Concepts</t>
  </si>
  <si>
    <t>Udemy Labs</t>
  </si>
  <si>
    <t>Notes/Review</t>
  </si>
  <si>
    <t>Total Hours</t>
  </si>
  <si>
    <t>Total Time</t>
  </si>
  <si>
    <t>Total planned time (hours)</t>
  </si>
  <si>
    <t>Average per week (hours)</t>
  </si>
  <si>
    <t>Average per day (hours)</t>
  </si>
  <si>
    <t>Heaviest week (hours)</t>
  </si>
  <si>
    <t>Lightest week (hours)</t>
  </si>
  <si>
    <t>Coverage Check</t>
  </si>
  <si>
    <t>Status</t>
  </si>
  <si>
    <t>Category</t>
  </si>
  <si>
    <t>Total</t>
  </si>
  <si>
    <t>C15/L14 observability</t>
  </si>
  <si>
    <t>Added in Week 3 Day 7</t>
  </si>
  <si>
    <t>L17 repetition</t>
  </si>
  <si>
    <t>Reduced to one formal pass + one review</t>
  </si>
  <si>
    <t>Daily distribution</t>
  </si>
  <si>
    <t>Mostly 2h–2h 40m; weekly totals tightly balanced</t>
  </si>
  <si>
    <t>Day</t>
  </si>
  <si>
    <t>Focus</t>
  </si>
  <si>
    <t>Microsoft Learn</t>
  </si>
  <si>
    <t>MS Time (min)</t>
  </si>
  <si>
    <t>Udemy Concept Time (min)</t>
  </si>
  <si>
    <t>Udemy Lab Time (min)</t>
  </si>
  <si>
    <t>Notes / Review Time (min)</t>
  </si>
  <si>
    <t>Total Time (min)</t>
  </si>
  <si>
    <t>Coverage Type</t>
  </si>
  <si>
    <t>AI agent + Foundry foundation</t>
  </si>
  <si>
    <t>LP1 M1: Plan and Prepare</t>
  </si>
  <si>
    <t>C1 What Is an AI Agent; C2 Code Walkthrough; C3 Foundry Platform</t>
  </si>
  <si>
    <t>L1 First Agent Call</t>
  </si>
  <si>
    <t>Formal</t>
  </si>
  <si>
    <t>Not Started</t>
  </si>
  <si>
    <t>Responsible AI + safety</t>
  </si>
  <si>
    <t>LP1 M6: Responsible Generative AI</t>
  </si>
  <si>
    <t>C5 Responsible AI &amp; Safety</t>
  </si>
  <si>
    <t>L2 Content Safety</t>
  </si>
  <si>
    <t>Model selection</t>
  </si>
  <si>
    <t>LP1 M2: Select, Deploy, Evaluate Models</t>
  </si>
  <si>
    <t>C6 Model Selection</t>
  </si>
  <si>
    <t>L4 LLM vs SLM Routing</t>
  </si>
  <si>
    <t>Evaluation and model parameters</t>
  </si>
  <si>
    <t>LP1 M2: evaluation review</t>
  </si>
  <si>
    <t>C16 Performance Evaluation</t>
  </si>
  <si>
    <t>L5 Model Parameters</t>
  </si>
  <si>
    <t>Formal + Review</t>
  </si>
  <si>
    <t>Chat app + context</t>
  </si>
  <si>
    <t>LP1 M3: Generative AI Chat App</t>
  </si>
  <si>
    <t>C9 Context Management</t>
  </si>
  <si>
    <t>L3 System Instructions</t>
  </si>
  <si>
    <t>Prompt optimisation</t>
  </si>
  <si>
    <t>LP1 M5: Optimize Generative AI Performance (Part 1)</t>
  </si>
  <si>
    <t>C20 Programmatic Prompt Construction</t>
  </si>
  <si>
    <t>—</t>
  </si>
  <si>
    <t>Weekly review + exam mapping</t>
  </si>
  <si>
    <t>LP1 review</t>
  </si>
  <si>
    <t>C1–C6, C9, C16, C20 review</t>
  </si>
  <si>
    <t>L1–L5 review</t>
  </si>
  <si>
    <t>Prompting / RAG start</t>
  </si>
  <si>
    <t>LP1 M5 Optimize: RAG section</t>
  </si>
  <si>
    <t>C7 Agentic RAG</t>
  </si>
  <si>
    <t>L6 Azure AI Search Part 1</t>
  </si>
  <si>
    <t>RAG grounding</t>
  </si>
  <si>
    <t>LP1 M5 grounding review</t>
  </si>
  <si>
    <t>C8 Advanced Grounding</t>
  </si>
  <si>
    <t>L7 Vector Search / Semantic Ranking</t>
  </si>
  <si>
    <t>Knowledge mining support</t>
  </si>
  <si>
    <t>LP4 M8 Azure AI Search / Knowledge Mining</t>
  </si>
  <si>
    <t>C7/C8 review</t>
  </si>
  <si>
    <t>L8 Agentic RAG</t>
  </si>
  <si>
    <t>Tool calling</t>
  </si>
  <si>
    <t>LP1 M4 Apps That Use Tools</t>
  </si>
  <si>
    <t>C11 Tool Calling</t>
  </si>
  <si>
    <t>L9 REST API Integration</t>
  </si>
  <si>
    <t>Custom tools</t>
  </si>
  <si>
    <t>LP2 M2 Custom Tools</t>
  </si>
  <si>
    <t>C11 review</t>
  </si>
  <si>
    <t>L9 review</t>
  </si>
  <si>
    <t>MCP tools</t>
  </si>
  <si>
    <t>LP2 M3 MCP Tools</t>
  </si>
  <si>
    <t>C12 MCP</t>
  </si>
  <si>
    <t>L10 MCP Lab</t>
  </si>
  <si>
    <t>LP1 M4–M5, LP2 M2–M3 review</t>
  </si>
  <si>
    <t>C7, C8, C11, C12 review</t>
  </si>
  <si>
    <t>L6–L10 review</t>
  </si>
  <si>
    <t>Agent foundations</t>
  </si>
  <si>
    <t>LP2 M1 AI Agents with Foundry + VS Code</t>
  </si>
  <si>
    <t>C1/C2 agent foundation review</t>
  </si>
  <si>
    <t>L1 review</t>
  </si>
  <si>
    <t>Identity and security</t>
  </si>
  <si>
    <t>LP2 M1 deployment/security sections</t>
  </si>
  <si>
    <t>C4 Entra Agent ID</t>
  </si>
  <si>
    <t>L19 Azure Key Vault</t>
  </si>
  <si>
    <t>Knowledge agents</t>
  </si>
  <si>
    <t>LP2 M4 Foundry IQ</t>
  </si>
  <si>
    <t>C17 Agent Memory</t>
  </si>
  <si>
    <t>L15 Short-Term Memory</t>
  </si>
  <si>
    <t>Long-term memory</t>
  </si>
  <si>
    <t>LP2 M4 retrieval/memory review</t>
  </si>
  <si>
    <t>C17 review</t>
  </si>
  <si>
    <t>L16 Long-Term Memory</t>
  </si>
  <si>
    <t>Agent workflows</t>
  </si>
  <si>
    <t>LP2 M6 Agent Workflows</t>
  </si>
  <si>
    <t>C13 Sequential vs Concurrent</t>
  </si>
  <si>
    <t>L13 Sequential vs Concurrent</t>
  </si>
  <si>
    <t>Agent framework + handoff</t>
  </si>
  <si>
    <t>LP2 M7 Agent Framework</t>
  </si>
  <si>
    <t>C10 Multi-Agent Orchestration</t>
  </si>
  <si>
    <t>L11 Handoff Pattern</t>
  </si>
  <si>
    <t>Observability and tracing</t>
  </si>
  <si>
    <t>LP2 agent review + monitoring mapping</t>
  </si>
  <si>
    <t>C15 Foundry Trace / OpenTelemetry</t>
  </si>
  <si>
    <t>L14 OpenTelemetry Debugging</t>
  </si>
  <si>
    <t>Multi-agent orchestration</t>
  </si>
  <si>
    <t>LP2 M8 Multi-Agent Solution</t>
  </si>
  <si>
    <t>C14 HITL Approval Gates</t>
  </si>
  <si>
    <t>L12 Manager / Magentic Pattern</t>
  </si>
  <si>
    <t>A2A and execution review</t>
  </si>
  <si>
    <t>LP2 M9 Azure AI Agents with A2A</t>
  </si>
  <si>
    <t>C13 review</t>
  </si>
  <si>
    <t>L13 review</t>
  </si>
  <si>
    <t>Microsoft 365 integration</t>
  </si>
  <si>
    <t>LP2 M5 M365, Teams, Copilot, Work IQ</t>
  </si>
  <si>
    <t>Text analysis</t>
  </si>
  <si>
    <t>LP3 M1–M2 Azure Language + Language MCP</t>
  </si>
  <si>
    <t>C19 NLP Preprocessing</t>
  </si>
  <si>
    <t>L18 NLP Preprocessing</t>
  </si>
  <si>
    <t>Speech apps + multimodal concepts</t>
  </si>
  <si>
    <t>LP3 M3–M4 Speech-capable apps + Azure Speech</t>
  </si>
  <si>
    <t>C18 Multimodal Integration</t>
  </si>
  <si>
    <t>Speech agents and translation</t>
  </si>
  <si>
    <t>LP3 M5–M7 Speech MCP, Voice Live, Translation</t>
  </si>
  <si>
    <t>C18 review</t>
  </si>
  <si>
    <t>LP2 / LP3 checkpoint</t>
  </si>
  <si>
    <t>Quick recall</t>
  </si>
  <si>
    <t>Vision apps + image generation</t>
  </si>
  <si>
    <t>LP4 M1–M2 Vision App + Image Generation</t>
  </si>
  <si>
    <t>L17 Multimodal Integration</t>
  </si>
  <si>
    <t>Video + image analysis</t>
  </si>
  <si>
    <t>LP4 M3–M4 Video + Image Analysis</t>
  </si>
  <si>
    <t>Content Understanding</t>
  </si>
  <si>
    <t>LP4 M5–M6 Content Understanding + Client App</t>
  </si>
  <si>
    <t>Document Intelligence</t>
  </si>
  <si>
    <t>LP4 M7 Document Intelligence</t>
  </si>
  <si>
    <t>Knowledge mining / AI Search reinforcement</t>
  </si>
  <si>
    <t>LP4 M8 review / weak-area drill</t>
  </si>
  <si>
    <t>L6–L8 review</t>
  </si>
  <si>
    <t>Study-guide mapping: vision + extraction</t>
  </si>
  <si>
    <t>Vision, multimodal, document extraction domains</t>
  </si>
  <si>
    <t>Buffer / weak-area drill</t>
  </si>
  <si>
    <t>Weak Microsoft modules</t>
  </si>
  <si>
    <t>Optional weak concepts</t>
  </si>
  <si>
    <t>Optional lab repeat</t>
  </si>
  <si>
    <t>Study guide: Plan and manage</t>
  </si>
  <si>
    <t>Foundry, models, deployment, safety, monitoring review</t>
  </si>
  <si>
    <t>C3/C4/C5/C6/C15/C16 review</t>
  </si>
  <si>
    <t>L2/L4/L5/L14/L19 review</t>
  </si>
  <si>
    <t>Study guide: Generative AI and agents</t>
  </si>
  <si>
    <t>RAG, tools, MCP, agents, workflows review</t>
  </si>
  <si>
    <t>C7/C10/C11/C12/C17 review</t>
  </si>
  <si>
    <t>L6–L13, L15–L16 review</t>
  </si>
  <si>
    <t>Study guide: Vision, text, speech</t>
  </si>
  <si>
    <t>LP3 + LP4 weak areas</t>
  </si>
  <si>
    <t>C18/C19 review</t>
  </si>
  <si>
    <t>L17/L18 review</t>
  </si>
  <si>
    <t>Security, cost, quotas, CI/CD</t>
  </si>
  <si>
    <t>Fill weak gaps from study guide</t>
  </si>
  <si>
    <t>C4/C15/C16 review</t>
  </si>
  <si>
    <t>L14/L19 review</t>
  </si>
  <si>
    <t>Final integration</t>
  </si>
  <si>
    <t>C21 Complete Agent Solution</t>
  </si>
  <si>
    <t>L20 Complete Agent Integration</t>
  </si>
  <si>
    <t>Practice assessment</t>
  </si>
  <si>
    <t>Microsoft practice / module checks</t>
  </si>
  <si>
    <t>Final cheat sheet</t>
  </si>
  <si>
    <t>Exam traps, service-selection notes, weak areas</t>
  </si>
  <si>
    <t>Foundry, agents foundation, models, chat apps</t>
  </si>
  <si>
    <t>RAG, Azure AI Search, tools, MCP</t>
  </si>
  <si>
    <t>Agents, identity, memory, workflows, observability</t>
  </si>
  <si>
    <t>Multi-agent, A2A, M365, text, speech</t>
  </si>
  <si>
    <t>Vision, Content Understanding, Document Intelligence, Search</t>
  </si>
  <si>
    <t>Revision, final integration, practice assessment</t>
  </si>
  <si>
    <t>Concept</t>
  </si>
  <si>
    <t>Title</t>
  </si>
  <si>
    <t>Duration (min)</t>
  </si>
  <si>
    <t>First Formal Slot</t>
  </si>
  <si>
    <t>Review Slot</t>
  </si>
  <si>
    <t>Coverage Notes</t>
  </si>
  <si>
    <t>C1</t>
  </si>
  <si>
    <t>What Is an AI Agent?</t>
  </si>
  <si>
    <t>Week 1 Day 1</t>
  </si>
  <si>
    <t>Week 3 Day 1</t>
  </si>
  <si>
    <t>Formal upfront foundation</t>
  </si>
  <si>
    <t>Covered</t>
  </si>
  <si>
    <t>C2</t>
  </si>
  <si>
    <t>Code Walkthrough: Deploying your first Agent</t>
  </si>
  <si>
    <t>Moved earlier; no longer review-only</t>
  </si>
  <si>
    <t>C3</t>
  </si>
  <si>
    <t>Microsoft Foundry – The Agent Development Platform</t>
  </si>
  <si>
    <t>Week 6 Day 1</t>
  </si>
  <si>
    <t>Foundry platform foundation</t>
  </si>
  <si>
    <t>C4</t>
  </si>
  <si>
    <t>Entra Agent ID – Agent Identity Deep Dive</t>
  </si>
  <si>
    <t>Week 3 Day 2</t>
  </si>
  <si>
    <t>Week 6 Days 1 &amp; 4</t>
  </si>
  <si>
    <t>Identity/security</t>
  </si>
  <si>
    <t>C5</t>
  </si>
  <si>
    <t>Responsible AI &amp; Safety for Agents</t>
  </si>
  <si>
    <t>Week 1 Day 2</t>
  </si>
  <si>
    <t>Responsible AI</t>
  </si>
  <si>
    <t>C6</t>
  </si>
  <si>
    <t>Model Selection – LLMs vs. SLMs for Agent Tasks</t>
  </si>
  <si>
    <t>Week 1 Day 3</t>
  </si>
  <si>
    <t>C7</t>
  </si>
  <si>
    <t>Agentic RAG – Dynamic Retrieval for Agents</t>
  </si>
  <si>
    <t>Week 2 Day 1</t>
  </si>
  <si>
    <t>Week 5 Day 5; Week 6 Day 2</t>
  </si>
  <si>
    <t>RAG/search</t>
  </si>
  <si>
    <t>C8</t>
  </si>
  <si>
    <t>Advanced Grounding – Fabric &amp; Cosmos DB</t>
  </si>
  <si>
    <t>Week 2 Day 2</t>
  </si>
  <si>
    <t>Week 5 Day 5</t>
  </si>
  <si>
    <t>Grounding</t>
  </si>
  <si>
    <t>C9</t>
  </si>
  <si>
    <t>Context Management – System Instructions</t>
  </si>
  <si>
    <t>Week 1 Day 5</t>
  </si>
  <si>
    <t>Week 1 Day 7</t>
  </si>
  <si>
    <t>Prompt/context</t>
  </si>
  <si>
    <t>C10</t>
  </si>
  <si>
    <t>Multi-Agent Orchestration – Microsoft Agent Framework</t>
  </si>
  <si>
    <t>Week 3 Day 6</t>
  </si>
  <si>
    <t>Week 6 Day 2</t>
  </si>
  <si>
    <t>Multi-agent</t>
  </si>
  <si>
    <t>C11</t>
  </si>
  <si>
    <t>Tool Calling – Connecting Agents to APIs</t>
  </si>
  <si>
    <t>Week 2 Day 4</t>
  </si>
  <si>
    <t>Week 2 Day 5; Week 6 Day 2</t>
  </si>
  <si>
    <t>Tools/APIs</t>
  </si>
  <si>
    <t>C12</t>
  </si>
  <si>
    <t>Model Context Protocol (MCP)</t>
  </si>
  <si>
    <t>Week 2 Day 6</t>
  </si>
  <si>
    <t>MCP</t>
  </si>
  <si>
    <t>C13</t>
  </si>
  <si>
    <t>Sequential vs. Concurrent Agent Execution</t>
  </si>
  <si>
    <t>Week 3 Day 5</t>
  </si>
  <si>
    <t>Week 4 Day 2</t>
  </si>
  <si>
    <t>Workflow execution</t>
  </si>
  <si>
    <t>C14</t>
  </si>
  <si>
    <t>Human-in-the-Loop Approval Gates</t>
  </si>
  <si>
    <t>Week 4 Day 1</t>
  </si>
  <si>
    <t>Safeguards/approval gates</t>
  </si>
  <si>
    <t>C15</t>
  </si>
  <si>
    <t>Foundry Trace – OpenTelemetry Debugging</t>
  </si>
  <si>
    <t>Week 3 Day 7</t>
  </si>
  <si>
    <t>Week 6 Day 4</t>
  </si>
  <si>
    <t>Added missing observability item</t>
  </si>
  <si>
    <t>C16</t>
  </si>
  <si>
    <t>Performance Evaluation – Metrics That Matter</t>
  </si>
  <si>
    <t>Week 1 Day 4</t>
  </si>
  <si>
    <t>Evaluation/monitoring</t>
  </si>
  <si>
    <t>C17</t>
  </si>
  <si>
    <t>Agent Memory – Short-Term and Long-Term State</t>
  </si>
  <si>
    <t>Week 3 Days 3–4</t>
  </si>
  <si>
    <t>Memory</t>
  </si>
  <si>
    <t>C18</t>
  </si>
  <si>
    <t>Multimodal Integration – Vision, Speech &amp; Document Intelligence</t>
  </si>
  <si>
    <t>Week 4 Day 5</t>
  </si>
  <si>
    <t>Week 5 Day 1; Week 6 Day 3</t>
  </si>
  <si>
    <t>Reduced excessive repeats</t>
  </si>
  <si>
    <t>C19</t>
  </si>
  <si>
    <t>Input Transformation – NLP Preprocessing for Agents</t>
  </si>
  <si>
    <t>Week 4 Day 4</t>
  </si>
  <si>
    <t>Week 6 Day 3</t>
  </si>
  <si>
    <t>NLP</t>
  </si>
  <si>
    <t>C20</t>
  </si>
  <si>
    <t>System Instructions – Programmatic Prompt Construction</t>
  </si>
  <si>
    <t>Week 1 Day 6</t>
  </si>
  <si>
    <t>Prompt construction</t>
  </si>
  <si>
    <t>C21</t>
  </si>
  <si>
    <t>Complete Agent Solution – Integration &amp; Exam Readiness</t>
  </si>
  <si>
    <t>Week 6 Day 5</t>
  </si>
  <si>
    <t>Lab</t>
  </si>
  <si>
    <t>L1</t>
  </si>
  <si>
    <t>Foundation – Your First Agent Call</t>
  </si>
  <si>
    <t>Week 1 Day 7; Week 3 Day 1</t>
  </si>
  <si>
    <t>First agent call</t>
  </si>
  <si>
    <t>L2</t>
  </si>
  <si>
    <t>Content Safety - Input and Output Filtering</t>
  </si>
  <si>
    <t>Safety filtering</t>
  </si>
  <si>
    <t>L3</t>
  </si>
  <si>
    <t>System Instructions – Dynamic Prompt Construction</t>
  </si>
  <si>
    <t>Prompting</t>
  </si>
  <si>
    <t>L4</t>
  </si>
  <si>
    <t>Model Selection – LLM vs SLM Routing</t>
  </si>
  <si>
    <t>Routing</t>
  </si>
  <si>
    <t>L5</t>
  </si>
  <si>
    <t>LLM Model Parameters</t>
  </si>
  <si>
    <t>Temperature/parameters</t>
  </si>
  <si>
    <t>L6</t>
  </si>
  <si>
    <t>Azure AI Search Part 1 - Basic Search and Retrieval</t>
  </si>
  <si>
    <t>Search basics</t>
  </si>
  <si>
    <t>L7</t>
  </si>
  <si>
    <t>Azure AI Search Part 2 - Vector Search and Semantic Ranking</t>
  </si>
  <si>
    <t>Vector/semantic search</t>
  </si>
  <si>
    <t>L8</t>
  </si>
  <si>
    <t>Azure AI Search Part 3 - Agentic RAG</t>
  </si>
  <si>
    <t>Week 2 Day 3</t>
  </si>
  <si>
    <t>Agentic RAG</t>
  </si>
  <si>
    <t>L9</t>
  </si>
  <si>
    <t>Tool Calling – REST API Integration</t>
  </si>
  <si>
    <t>L10</t>
  </si>
  <si>
    <t>MCP – Standardized Tool Connectivity</t>
  </si>
  <si>
    <t>MCP lab</t>
  </si>
  <si>
    <t>L11</t>
  </si>
  <si>
    <t>Multi-Agent - Handoff Pattern</t>
  </si>
  <si>
    <t>Handoff</t>
  </si>
  <si>
    <t>L12</t>
  </si>
  <si>
    <t>Multi-Agent – Manager/Magentic Pattern</t>
  </si>
  <si>
    <t>Manager pattern</t>
  </si>
  <si>
    <t>L13</t>
  </si>
  <si>
    <t>Sequential vs Concurrent Agent Execution</t>
  </si>
  <si>
    <t>Week 4 Day 2; Week 6 Day 2</t>
  </si>
  <si>
    <t>Execution pattern</t>
  </si>
  <si>
    <t>L14</t>
  </si>
  <si>
    <t>OpenTelemetry Debugging</t>
  </si>
  <si>
    <t>Added with C15</t>
  </si>
  <si>
    <t>L15</t>
  </si>
  <si>
    <t>Agent Memory – Short-Term Session Memory</t>
  </si>
  <si>
    <t>Week 3 Day 3</t>
  </si>
  <si>
    <t>Short-term memory</t>
  </si>
  <si>
    <t>L16</t>
  </si>
  <si>
    <t>Agent Memory – Long-Term User Memory</t>
  </si>
  <si>
    <t>Week 3 Day 4</t>
  </si>
  <si>
    <t>L17</t>
  </si>
  <si>
    <t>Multimodal Integration</t>
  </si>
  <si>
    <t>Week 5 Day 1</t>
  </si>
  <si>
    <t>Reduced over-scheduling</t>
  </si>
  <si>
    <t>L18</t>
  </si>
  <si>
    <t>Input Transformation – NLP Preprocessing</t>
  </si>
  <si>
    <t>NLP preprocessing</t>
  </si>
  <si>
    <t>L19</t>
  </si>
  <si>
    <t>Secure Secret Management with Azure Key Vault</t>
  </si>
  <si>
    <t>Key Vault</t>
  </si>
  <si>
    <t>L20</t>
  </si>
  <si>
    <t>Complete Agent Integration</t>
  </si>
  <si>
    <t>AI-103 Exam Domain</t>
  </si>
  <si>
    <t>Weight</t>
  </si>
  <si>
    <t>Schedule Coverage</t>
  </si>
  <si>
    <t>Microsoft / Topic Focus</t>
  </si>
  <si>
    <t>Udemy Support</t>
  </si>
  <si>
    <t>Coverage Confidence</t>
  </si>
  <si>
    <t>Plan and manage an Azure AI solution</t>
  </si>
  <si>
    <t>25–30%</t>
  </si>
  <si>
    <t>Weeks 1, 3, 6</t>
  </si>
  <si>
    <t>Foundry projects, model selection, deployment, safety, monitoring, identity, cost, quotas</t>
  </si>
  <si>
    <t>C3, C4, C5, C6, C15, C16; L2, L4, L5, L14, L19</t>
  </si>
  <si>
    <t>High</t>
  </si>
  <si>
    <t>Implement generative AI and agentic solutions</t>
  </si>
  <si>
    <t>30–35%</t>
  </si>
  <si>
    <t>Weeks 1–4, 6</t>
  </si>
  <si>
    <t>Chat apps, tools, RAG, MCP, agents, memory, workflows, multi-agent, HITL</t>
  </si>
  <si>
    <t>C1, C2, C7, C8, C9, C10, C11, C12, C13, C14, C17, C20, C21; L1, L3, L6–L13, L15–L16, L20</t>
  </si>
  <si>
    <t>Very High</t>
  </si>
  <si>
    <t>Implement computer vision solutions</t>
  </si>
  <si>
    <t>10–15%</t>
  </si>
  <si>
    <t>Week 5, Week 6</t>
  </si>
  <si>
    <t>Vision-enabled apps, image/video analysis, generation, multimodal understanding</t>
  </si>
  <si>
    <t>C18; L17</t>
  </si>
  <si>
    <t>Medium</t>
  </si>
  <si>
    <t>Implement text analysis solutions</t>
  </si>
  <si>
    <t>Week 4, Week 6</t>
  </si>
  <si>
    <t>Language, NLP preprocessing, speech, translation</t>
  </si>
  <si>
    <t>C18, C19; L18</t>
  </si>
  <si>
    <t>Implement information extraction solutions</t>
  </si>
  <si>
    <t>Weeks 2, 5, 6</t>
  </si>
  <si>
    <t>Content Understanding, Document Intelligence, OCR, AI Search, RAG ingestion</t>
  </si>
  <si>
    <t>C7, C8, C18; L6–L8, L17</t>
  </si>
  <si>
    <t>Medium–High</t>
  </si>
  <si>
    <t>Source</t>
  </si>
  <si>
    <t>Used for</t>
  </si>
  <si>
    <t>Notes</t>
  </si>
  <si>
    <t>File Reference</t>
  </si>
  <si>
    <t>AI-103 Study Guide</t>
  </si>
  <si>
    <t>Exam domain weights and topic alignment</t>
  </si>
  <si>
    <t>Skills measured as of April 16, 2026</t>
  </si>
  <si>
    <t>Pasted markdown (2)(1).md</t>
  </si>
  <si>
    <t>Microsoft AI-103 course syllabus</t>
  </si>
  <si>
    <t>Microsoft Learn module sequence and durations</t>
  </si>
  <si>
    <t>29h 36m self-paced, 30 modules</t>
  </si>
  <si>
    <t>AI-103_Complete_Course_Syllabus(6).md</t>
  </si>
  <si>
    <t>Udemy AI-103 outline</t>
  </si>
  <si>
    <t>Concept and lab coverage</t>
  </si>
  <si>
    <t>21 concepts, 20 labs, total 18h 20m</t>
  </si>
  <si>
    <t>Udemy(6).md</t>
  </si>
  <si>
    <t>Previous 6-week plan</t>
  </si>
  <si>
    <t>Baseline schedule</t>
  </si>
  <si>
    <t>Updated to fix gaps and balance load</t>
  </si>
  <si>
    <t>Pasted markdown(15).md</t>
  </si>
  <si>
    <t>2h 50m</t>
  </si>
  <si>
    <t>2h 00m</t>
  </si>
  <si>
    <t>2h 20m</t>
  </si>
  <si>
    <t>2h 10m</t>
  </si>
  <si>
    <t>1h 40m</t>
  </si>
  <si>
    <t>2h 25m</t>
  </si>
  <si>
    <t>2h 15m</t>
  </si>
  <si>
    <t>1h 30m</t>
  </si>
  <si>
    <t>2h 30m</t>
  </si>
  <si>
    <t>2h 45m</t>
  </si>
  <si>
    <t>2h 35m</t>
  </si>
  <si>
    <t>1h 00m</t>
  </si>
  <si>
    <t>2h 40m</t>
  </si>
  <si>
    <t>3h 00m</t>
  </si>
  <si>
    <t>2h 38m</t>
  </si>
  <si>
    <t>2h 07m</t>
  </si>
  <si>
    <t>0h 20m</t>
  </si>
  <si>
    <t>L</t>
  </si>
  <si>
    <t>C</t>
  </si>
  <si>
    <t>M</t>
  </si>
  <si>
    <t>1,2</t>
  </si>
  <si>
    <t>3,4</t>
  </si>
  <si>
    <t>5,6,7</t>
  </si>
  <si>
    <t>18,19</t>
  </si>
  <si>
    <t>5,6</t>
  </si>
  <si>
    <t>#</t>
  </si>
  <si>
    <t>-</t>
  </si>
  <si>
    <t>Type</t>
  </si>
  <si>
    <t>Code</t>
  </si>
  <si>
    <t>Name</t>
  </si>
  <si>
    <t>MS Learning Path</t>
  </si>
  <si>
    <t>LP1</t>
  </si>
  <si>
    <t>Develop Generative AI Apps in Azure</t>
  </si>
  <si>
    <t>MS Module</t>
  </si>
  <si>
    <t>LP1 M1</t>
  </si>
  <si>
    <t>Plan and Prepare to Develop AI Solutions on Azure</t>
  </si>
  <si>
    <t>LP1 M2</t>
  </si>
  <si>
    <t>LP1 M3</t>
  </si>
  <si>
    <t>Develop a Generative AI Chat App with Microsoft Foundry</t>
  </si>
  <si>
    <t>LP1 M4</t>
  </si>
  <si>
    <t>Develop Generative AI Apps That Use Tools</t>
  </si>
  <si>
    <t>LP1 M5</t>
  </si>
  <si>
    <t>Optimize Generative AI Model Performance with Microsoft Foundry</t>
  </si>
  <si>
    <t>LP1 M6</t>
  </si>
  <si>
    <t>Implement a Responsible Generative AI Solution in Microsoft Foundry</t>
  </si>
  <si>
    <t>LP2</t>
  </si>
  <si>
    <t>Develop AI Agents on Azure</t>
  </si>
  <si>
    <t>LP2 M1</t>
  </si>
  <si>
    <t>Develop AI Agents with Microsoft Foundry and Visual Studio Code</t>
  </si>
  <si>
    <t>LP2 M2</t>
  </si>
  <si>
    <t>Integrate Custom Tools into Your Agent</t>
  </si>
  <si>
    <t>LP2 M3</t>
  </si>
  <si>
    <t>Integrate MCP Tools with Azure AI Agents</t>
  </si>
  <si>
    <t>LP2 M4</t>
  </si>
  <si>
    <t>Build Knowledge-Enhanced AI Agents with Foundry IQ</t>
  </si>
  <si>
    <t>LP2 M5</t>
  </si>
  <si>
    <t>Integrate Your Agent with Microsoft 365</t>
  </si>
  <si>
    <t>LP2 M6</t>
  </si>
  <si>
    <t>Build Agent-Driven Workflows using Microsoft Foundry</t>
  </si>
  <si>
    <t>LP2 M7</t>
  </si>
  <si>
    <t>Develop an AI Agent with Microsoft Agent Framework</t>
  </si>
  <si>
    <t>LP2 M8</t>
  </si>
  <si>
    <t>Orchestrate a Multi-Agent Solution using the Microsoft Agent Framework</t>
  </si>
  <si>
    <t>LP2 M9</t>
  </si>
  <si>
    <t>Discover Azure AI Agents with A2A</t>
  </si>
  <si>
    <t>LP3</t>
  </si>
  <si>
    <t>Develop Natural Language Solutions in Azure</t>
  </si>
  <si>
    <t>LP3 M1</t>
  </si>
  <si>
    <t>Analyze Text with Azure Language in Foundry Tools</t>
  </si>
  <si>
    <t>LP3 M2</t>
  </si>
  <si>
    <t>Develop a Text Analysis Agent with the Azure Language MCP Server</t>
  </si>
  <si>
    <t>LP3 M3</t>
  </si>
  <si>
    <t>Develop a Speech-Capable Generative AI Application</t>
  </si>
  <si>
    <t>LP3 M4</t>
  </si>
  <si>
    <t>Create Speech-Enabled Apps with Azure Speech in Microsoft Foundry Tools</t>
  </si>
  <si>
    <t>LP3 M5</t>
  </si>
  <si>
    <t>Develop a Speech Agent with the Azure Speech MCP Server</t>
  </si>
  <si>
    <t>LP3 M6</t>
  </si>
  <si>
    <t>Develop an Azure Speech Voice Live Agent in Microsoft Foundry</t>
  </si>
  <si>
    <t>LP3 M7</t>
  </si>
  <si>
    <t>Translate Text and Speech with Microsoft Foundry Tools</t>
  </si>
  <si>
    <t>LP4</t>
  </si>
  <si>
    <t>Extract Insights from Visual Data on Azure</t>
  </si>
  <si>
    <t>LP4 M1</t>
  </si>
  <si>
    <t>Develop a Vision-Enabled Generative AI Application</t>
  </si>
  <si>
    <t>LP4 M2</t>
  </si>
  <si>
    <t>Generate Images with AI</t>
  </si>
  <si>
    <t>LP4 M3</t>
  </si>
  <si>
    <t>Generate Videos with Microsoft Foundry</t>
  </si>
  <si>
    <t>LP4 M4</t>
  </si>
  <si>
    <t>Analyze Images with Content Understanding</t>
  </si>
  <si>
    <t>LP4 M5</t>
  </si>
  <si>
    <t>Create a Multimodal Analysis Solution with Azure Content Understanding</t>
  </si>
  <si>
    <t>LP4 M6</t>
  </si>
  <si>
    <t>Create an Azure Content Understanding Client Application</t>
  </si>
  <si>
    <t>LP4 M7</t>
  </si>
  <si>
    <t>Extract Data with Azure Document Intelligence</t>
  </si>
  <si>
    <t>LP4 M8</t>
  </si>
  <si>
    <t>Create a Knowledge Mining Solution with Azure AI Search</t>
  </si>
  <si>
    <t>Udemy Concept</t>
  </si>
  <si>
    <t>Unit 1 Code Walkthrough: Deploying your first Agent</t>
  </si>
  <si>
    <t>Model Context Protocol (MCP) – Standardized Tool Connectivity</t>
  </si>
  <si>
    <t>Human-in-the-Loop (HITL) – Approval Gates</t>
  </si>
  <si>
    <t>Udemy Lab</t>
  </si>
  <si>
    <t>Content Safety – Input and Output Filtering</t>
  </si>
  <si>
    <t>Azure AI Search (Part 1) – Basic Search and Retrieval</t>
  </si>
  <si>
    <t>Azure AI Search (Part 2) – Vector Search and Semantic Ranking</t>
  </si>
  <si>
    <t>Azure AI Search (Part 3) – Agentic RAG</t>
  </si>
  <si>
    <t>Multi-Agent – Handoff Pattern</t>
  </si>
  <si>
    <t>Multi-Agent – Manager (Magentic) Pattern</t>
  </si>
  <si>
    <t>Agent Memory – Short-Term Session Memory (Redis)</t>
  </si>
  <si>
    <t>Agent Memory – Long-Term User Memory (Cosmos DB)</t>
  </si>
  <si>
    <t>Complete Agent Integration – Production-Ready System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</si>
  <si>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</si>
  <si>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</si>
  <si>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</si>
  <si>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</si>
  <si>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</si>
  <si>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</si>
  <si>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</si>
  <si>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</si>
  <si>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</si>
  <si>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Module</t>
  </si>
  <si>
    <t>Select, Deploy, and Evaluate Microsoft Foundry Models</t>
  </si>
  <si>
    <t>LLM Model Parameters (Temperature, etc.)</t>
  </si>
  <si>
    <t>Multimodal Integration – Vision, Speech, Document Intelligence</t>
  </si>
  <si>
    <t>P</t>
  </si>
  <si>
    <t>Seq</t>
  </si>
  <si>
    <t>Time</t>
  </si>
  <si>
    <t>26m</t>
  </si>
  <si>
    <t>28m</t>
  </si>
  <si>
    <t>24m</t>
  </si>
  <si>
    <t>45m</t>
  </si>
  <si>
    <t>21m</t>
  </si>
  <si>
    <t>36m</t>
  </si>
  <si>
    <t>Select Deploy and Evaluate Microsoft Foundry Models</t>
  </si>
  <si>
    <t>1h 03m</t>
  </si>
  <si>
    <t>Model Selection – LLMs vs SLMs for Agent Tasks</t>
  </si>
  <si>
    <t>39m</t>
  </si>
  <si>
    <t>37m</t>
  </si>
  <si>
    <t>53m</t>
  </si>
  <si>
    <t>19m</t>
  </si>
  <si>
    <t>14m</t>
  </si>
  <si>
    <t>2h 11m</t>
  </si>
  <si>
    <t>23m</t>
  </si>
  <si>
    <t>Azure AI Search Part 1 – Basic Search and Retrieval</t>
  </si>
  <si>
    <t>Azure AI Search Part 2 – Vector Search and Semantic Ranking</t>
  </si>
  <si>
    <t>1h 08m</t>
  </si>
  <si>
    <t>Advanced Grounding – Fabric and Cosmos DB</t>
  </si>
  <si>
    <t>22m</t>
  </si>
  <si>
    <t>Azure AI Search Part 3 – Agentic RAG</t>
  </si>
  <si>
    <t>44m</t>
  </si>
  <si>
    <t>1h 35m</t>
  </si>
  <si>
    <t>51m</t>
  </si>
  <si>
    <t>Model Context Protocol MCP – Standardized Tool Connectivity</t>
  </si>
  <si>
    <t>1h 11m</t>
  </si>
  <si>
    <t>Agent Memory – Short-Term Session Memory Redis</t>
  </si>
  <si>
    <t>38m</t>
  </si>
  <si>
    <t>Agent Memory – Long-Term User Memory Cosmos DB</t>
  </si>
  <si>
    <t>33m</t>
  </si>
  <si>
    <t>1h 04m</t>
  </si>
  <si>
    <t>Human-in-the-Loop HITL – Approval Gates</t>
  </si>
  <si>
    <t>30m</t>
  </si>
  <si>
    <t>55m</t>
  </si>
  <si>
    <t>27m</t>
  </si>
  <si>
    <t>1h 13m</t>
  </si>
  <si>
    <t>Multi-Agent – Manager Magentic Pattern</t>
  </si>
  <si>
    <t>25m</t>
  </si>
  <si>
    <t>56m</t>
  </si>
  <si>
    <t>40m</t>
  </si>
  <si>
    <t>1h 14m</t>
  </si>
  <si>
    <t>46m</t>
  </si>
  <si>
    <t>52m</t>
  </si>
  <si>
    <t>18m</t>
  </si>
  <si>
    <t>43m</t>
  </si>
  <si>
    <t>48m</t>
  </si>
  <si>
    <t>Multimodal Integration – Vision Speech and Document Intelligence</t>
  </si>
  <si>
    <t>Multimodal Integration – Vision Speech Document Intelligence</t>
  </si>
  <si>
    <t>29m</t>
  </si>
  <si>
    <t>Complete Agent Solution – Integration and Exam Readiness</t>
  </si>
  <si>
    <t>42m</t>
  </si>
  <si>
    <t>C5, C6</t>
  </si>
  <si>
    <t>L2, L3, L4, L5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</si>
</sst>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sz val="10"/>
      <name val="Calibri"/>
      <family val="2"/>
      <scheme val="major"/>
    </font>
    <font>
      <sz val="10"/>
      <color rgb="FF7030A0"/>
      <name val="Calibri"/>
      <family val="2"/>
      <scheme val="major"/>
    </font>
    <font>
      <b/>
      <sz val="10"/>
      <name val="Calibri"/>
      <family val="2"/>
      <scheme val="major"/>
    </font>
    <font>
      <sz val="10"/>
      <name val="Calibri"/>
      <family val="2"/>
      <scheme val="minor"/>
    </font>
    <font>
      <sz val="10"/>
      <color rgb="FF7030A0"/>
      <name val="Calibri"/>
      <family val="2"/>
      <scheme val="minor"/>
    </font>
    <font>
      <sz val="10"/>
      <color rgb="FF0070C0"/>
      <name val="Calibri"/>
      <family val="2"/>
      <scheme val="minor"/>
    </font>
    <font>
      <sz val="10"/>
      <color rgb="FFC0000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name val="Calibri"/>
      <family val="2"/>
      <scheme val="minor"/>
    </font>
    <font>
      <sz val="10"/>
      <color theme="1" tint="0.499984740745262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vertical="top" wrapText="1"/>
    </xf>
    <xf numFmtId="0" fontId="0" fillId="0" borderId="0" xfId="0" applyAlignment="1">
      <alignment wrapText="1"/>
    </xf>
    <xf numFmtId="2" fontId="1" fillId="2" borderId="0" xfId="0" applyNumberFormat="1" applyFont="1" applyFill="1" applyAlignment="1">
      <alignment horizontal="center" vertical="top" wrapText="1"/>
    </xf>
    <xf numFmtId="1" fontId="1" fillId="2" borderId="0" xfId="0" applyNumberFormat="1" applyFont="1" applyFill="1" applyAlignment="1">
      <alignment horizontal="center" vertical="top" wrapText="1"/>
    </xf>
    <xf numFmtId="2" fontId="0" fillId="0" borderId="0" xfId="0" applyNumberFormat="1" applyAlignment="1">
      <alignment wrapText="1"/>
    </xf>
    <xf numFmtId="2" fontId="1" fillId="2" borderId="0" xfId="0" applyNumberFormat="1" applyFont="1" applyFill="1" applyAlignment="1">
      <alignment horizontal="center" wrapText="1"/>
    </xf>
    <xf numFmtId="0" fontId="3" fillId="3" borderId="0" xfId="0" applyFont="1" applyFill="1"/>
    <xf numFmtId="0" fontId="4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4" fillId="4" borderId="0" xfId="0" applyFont="1" applyFill="1" applyAlignment="1">
      <alignment vertical="center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vertical="center"/>
    </xf>
    <xf numFmtId="0" fontId="9" fillId="0" borderId="0" xfId="0" applyFont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t>Weekly Time Distribution (Hours)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MS</c:v>
          </c:tx>
          <c:invertIfNegative val="1"/>
          <c:cat>
            <c:numRef>
              <c:f>Dashboard!$D$4:$D$9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Dashboard!$E$4:$E$9</c:f>
              <c:numCache>
                <c:formatCode>0.00</c:formatCode>
                <c:ptCount val="6"/>
                <c:pt idx="0">
                  <c:v>5.85</c:v>
                </c:pt>
                <c:pt idx="1">
                  <c:v>6.55</c:v>
                </c:pt>
                <c:pt idx="2">
                  <c:v>6.833333333333333</c:v>
                </c:pt>
                <c:pt idx="3">
                  <c:v>9.4833333333333325</c:v>
                </c:pt>
                <c:pt idx="4">
                  <c:v>6.4666666666666668</c:v>
                </c:pt>
                <c:pt idx="5">
                  <c:v>3.6666666666666665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90-4F29-A4FF-B6AA97CFDB0A}"/>
            </c:ext>
          </c:extLst>
        </c:ser>
        <c:ser>
          <c:idx val="1"/>
          <c:order val="1"/>
          <c:tx>
            <c:v>Udemy Concepts</c:v>
          </c:tx>
          <c:invertIfNegative val="1"/>
          <c:cat>
            <c:numRef>
              <c:f>Dashboard!$D$4:$D$9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Dashboard!$F$4:$F$9</c:f>
              <c:numCache>
                <c:formatCode>0.00</c:formatCode>
                <c:ptCount val="6"/>
                <c:pt idx="0">
                  <c:v>3.2166666666666668</c:v>
                </c:pt>
                <c:pt idx="1">
                  <c:v>2.3166666666666669</c:v>
                </c:pt>
                <c:pt idx="2">
                  <c:v>2.3166666666666669</c:v>
                </c:pt>
                <c:pt idx="3">
                  <c:v>1.5833333333333333</c:v>
                </c:pt>
                <c:pt idx="4">
                  <c:v>0.5</c:v>
                </c:pt>
                <c:pt idx="5">
                  <c:v>2.5166666666666666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090-4F29-A4FF-B6AA97CFDB0A}"/>
            </c:ext>
          </c:extLst>
        </c:ser>
        <c:ser>
          <c:idx val="2"/>
          <c:order val="2"/>
          <c:tx>
            <c:v>Udemy Labs</c:v>
          </c:tx>
          <c:invertIfNegative val="1"/>
          <c:cat>
            <c:numRef>
              <c:f>Dashboard!$D$4:$D$9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Dashboard!$G$4:$G$9</c:f>
              <c:numCache>
                <c:formatCode>0.00</c:formatCode>
                <c:ptCount val="6"/>
                <c:pt idx="0">
                  <c:v>3.1666666666666665</c:v>
                </c:pt>
                <c:pt idx="1">
                  <c:v>3.2333333333333334</c:v>
                </c:pt>
                <c:pt idx="2">
                  <c:v>3.4</c:v>
                </c:pt>
                <c:pt idx="3">
                  <c:v>1.3666666666666667</c:v>
                </c:pt>
                <c:pt idx="4">
                  <c:v>1.75</c:v>
                </c:pt>
                <c:pt idx="5">
                  <c:v>2.7833333333333332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090-4F29-A4FF-B6AA97CFDB0A}"/>
            </c:ext>
          </c:extLst>
        </c:ser>
        <c:ser>
          <c:idx val="3"/>
          <c:order val="3"/>
          <c:tx>
            <c:v>Notes/Review</c:v>
          </c:tx>
          <c:invertIfNegative val="1"/>
          <c:cat>
            <c:numRef>
              <c:f>Dashboard!$D$4:$D$9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Dashboard!$H$4:$H$9</c:f>
              <c:numCache>
                <c:formatCode>0.00</c:formatCode>
                <c:ptCount val="6"/>
                <c:pt idx="0">
                  <c:v>2.7666666666666666</c:v>
                </c:pt>
                <c:pt idx="1">
                  <c:v>2.9</c:v>
                </c:pt>
                <c:pt idx="2">
                  <c:v>2.7</c:v>
                </c:pt>
                <c:pt idx="3">
                  <c:v>3.0666666666666669</c:v>
                </c:pt>
                <c:pt idx="4">
                  <c:v>6.6166666666666663</c:v>
                </c:pt>
                <c:pt idx="5">
                  <c:v>6.1166666666666663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090-4F29-A4FF-B6AA97CFDB0A}"/>
            </c:ext>
          </c:extLst>
        </c:ser>
        <c:ser>
          <c:idx val="4"/>
          <c:order val="4"/>
          <c:tx>
            <c:v>Total Hours</c:v>
          </c:tx>
          <c:invertIfNegative val="1"/>
          <c:cat>
            <c:numRef>
              <c:f>Dashboard!$D$4:$D$9</c:f>
              <c:numCache>
                <c:formatCode>General</c:formatCode>
                <c:ptCount val="6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</c:numCache>
            </c:numRef>
          </c:cat>
          <c:val>
            <c:numRef>
              <c:f>Dashboard!$I$4:$I$9</c:f>
              <c:numCache>
                <c:formatCode>0.00</c:formatCode>
                <c:ptCount val="6"/>
                <c:pt idx="0">
                  <c:v>15</c:v>
                </c:pt>
                <c:pt idx="1">
                  <c:v>15</c:v>
                </c:pt>
                <c:pt idx="2">
                  <c:v>15.25</c:v>
                </c:pt>
                <c:pt idx="3">
                  <c:v>15.5</c:v>
                </c:pt>
                <c:pt idx="4">
                  <c:v>15.333333333333334</c:v>
                </c:pt>
                <c:pt idx="5">
                  <c:v>15.083333333333334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1090-4F29-A4FF-B6AA97CFDB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16</xdr:row>
      <xdr:rowOff>0</xdr:rowOff>
    </xdr:from>
    <xdr:to>
      <xdr:col>10</xdr:col>
      <xdr:colOff>0</xdr:colOff>
      <xdr:row>34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StudyScheduleTable" displayName="StudyScheduleTable" ref="A1:O43">
  <tableColumns count="15">
    <tableColumn id="1" xr3:uid="{00000000-0010-0000-0000-000001000000}" name="Week"/>
    <tableColumn id="2" xr3:uid="{00000000-0010-0000-0000-000002000000}" name="Day"/>
    <tableColumn id="3" xr3:uid="{00000000-0010-0000-0000-000003000000}" name="Focus"/>
    <tableColumn id="4" xr3:uid="{00000000-0010-0000-0000-000004000000}" name="Microsoft Learn"/>
    <tableColumn id="5" xr3:uid="{00000000-0010-0000-0000-000005000000}" name="Udemy Concepts"/>
    <tableColumn id="6" xr3:uid="{00000000-0010-0000-0000-000006000000}" name="Udemy Labs"/>
    <tableColumn id="7" xr3:uid="{00000000-0010-0000-0000-000007000000}" name="MS Time (min)"/>
    <tableColumn id="8" xr3:uid="{00000000-0010-0000-0000-000008000000}" name="Udemy Concept Time (min)"/>
    <tableColumn id="9" xr3:uid="{00000000-0010-0000-0000-000009000000}" name="Udemy Lab Time (min)"/>
    <tableColumn id="10" xr3:uid="{00000000-0010-0000-0000-00000A000000}" name="Notes / Review Time (min)"/>
    <tableColumn id="11" xr3:uid="{00000000-0010-0000-0000-00000B000000}" name="Total Time (min)"/>
    <tableColumn id="12" xr3:uid="{00000000-0010-0000-0000-00000C000000}" name="Total Hours"/>
    <tableColumn id="13" xr3:uid="{00000000-0010-0000-0000-00000D000000}" name="Total Time"/>
    <tableColumn id="14" xr3:uid="{00000000-0010-0000-0000-00000E000000}" name="Coverage Type"/>
    <tableColumn id="15" xr3:uid="{00000000-0010-0000-0000-00000F000000}" name="Statu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WeeklySummaryTable" displayName="WeeklySummaryTable" ref="A1:I7">
  <tableColumns count="9">
    <tableColumn id="1" xr3:uid="{00000000-0010-0000-0100-000001000000}" name="Week"/>
    <tableColumn id="2" xr3:uid="{00000000-0010-0000-0100-000002000000}" name="Focus"/>
    <tableColumn id="3" xr3:uid="{00000000-0010-0000-0100-000003000000}" name="MS Time (min)"/>
    <tableColumn id="4" xr3:uid="{00000000-0010-0000-0100-000004000000}" name="Udemy Concept Time (min)"/>
    <tableColumn id="5" xr3:uid="{00000000-0010-0000-0100-000005000000}" name="Udemy Lab Time (min)"/>
    <tableColumn id="6" xr3:uid="{00000000-0010-0000-0100-000006000000}" name="Notes / Review Time (min)"/>
    <tableColumn id="7" xr3:uid="{00000000-0010-0000-0100-000007000000}" name="Total Time (min)"/>
    <tableColumn id="8" xr3:uid="{00000000-0010-0000-0100-000008000000}" name="Total Hours"/>
    <tableColumn id="9" xr3:uid="{00000000-0010-0000-0100-000009000000}" name="Total Tim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UdemyConceptCoverageTable" displayName="UdemyConceptCoverageTable" ref="A1:G22">
  <tableColumns count="7">
    <tableColumn id="1" xr3:uid="{00000000-0010-0000-0200-000001000000}" name="Concept"/>
    <tableColumn id="2" xr3:uid="{00000000-0010-0000-0200-000002000000}" name="Title"/>
    <tableColumn id="3" xr3:uid="{00000000-0010-0000-0200-000003000000}" name="Duration (min)"/>
    <tableColumn id="4" xr3:uid="{00000000-0010-0000-0200-000004000000}" name="First Formal Slot"/>
    <tableColumn id="5" xr3:uid="{00000000-0010-0000-0200-000005000000}" name="Review Slot"/>
    <tableColumn id="6" xr3:uid="{00000000-0010-0000-0200-000006000000}" name="Coverage Notes"/>
    <tableColumn id="7" xr3:uid="{00000000-0010-0000-0200-000007000000}" name="Statu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UdemyLabCoverageTable" displayName="UdemyLabCoverageTable" ref="A1:G21">
  <tableColumns count="7">
    <tableColumn id="1" xr3:uid="{00000000-0010-0000-0300-000001000000}" name="Lab"/>
    <tableColumn id="2" xr3:uid="{00000000-0010-0000-0300-000002000000}" name="Title"/>
    <tableColumn id="3" xr3:uid="{00000000-0010-0000-0300-000003000000}" name="Duration (min)"/>
    <tableColumn id="4" xr3:uid="{00000000-0010-0000-0300-000004000000}" name="First Formal Slot"/>
    <tableColumn id="5" xr3:uid="{00000000-0010-0000-0300-000005000000}" name="Review Slot"/>
    <tableColumn id="6" xr3:uid="{00000000-0010-0000-0300-000006000000}" name="Coverage Notes"/>
    <tableColumn id="7" xr3:uid="{00000000-0010-0000-0300-000007000000}" name="Statu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ExamCoverageMapTable" displayName="ExamCoverageMapTable" ref="A1:F6">
  <tableColumns count="6">
    <tableColumn id="1" xr3:uid="{00000000-0010-0000-0400-000001000000}" name="AI-103 Exam Domain"/>
    <tableColumn id="2" xr3:uid="{00000000-0010-0000-0400-000002000000}" name="Weight"/>
    <tableColumn id="3" xr3:uid="{00000000-0010-0000-0400-000003000000}" name="Schedule Coverage"/>
    <tableColumn id="4" xr3:uid="{00000000-0010-0000-0400-000004000000}" name="Microsoft / Topic Focus"/>
    <tableColumn id="5" xr3:uid="{00000000-0010-0000-0400-000005000000}" name="Udemy Support"/>
    <tableColumn id="6" xr3:uid="{00000000-0010-0000-0400-000006000000}" name="Coverage Confidence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SourceNotesTable" displayName="SourceNotesTable" ref="A1:D5">
  <tableColumns count="4">
    <tableColumn id="1" xr3:uid="{00000000-0010-0000-0500-000001000000}" name="Source"/>
    <tableColumn id="2" xr3:uid="{00000000-0010-0000-0500-000002000000}" name="Used for"/>
    <tableColumn id="3" xr3:uid="{00000000-0010-0000-0500-000003000000}" name="Notes"/>
    <tableColumn id="4" xr3:uid="{00000000-0010-0000-0500-000004000000}" name="File 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D5E875-54BD-4F2D-96D9-7F02853F28BF}">
  <dimension ref="B1:AD79"/>
  <sheetViews>
    <sheetView workbookViewId="0">
      <selection activeCell="A7" sqref="A7:XFD8"/>
    </sheetView>
  </sheetViews>
  <sheetFormatPr defaultRowHeight="14.25"/>
  <cols>
    <col min="3" max="3" width="3.5" style="12" customWidth="1"/>
    <col min="4" max="4" width="4.625" style="12" bestFit="1" customWidth="1"/>
    <col min="5" max="5" width="3.5" style="12" bestFit="1" customWidth="1"/>
    <col min="6" max="10" width="3.5" style="12" customWidth="1"/>
    <col min="11" max="11" width="45.375" style="12" bestFit="1" customWidth="1"/>
    <col min="12" max="12" width="53" style="12" bestFit="1" customWidth="1"/>
    <col min="13" max="13" width="46.625" style="12" bestFit="1" customWidth="1"/>
    <col min="14" max="16" width="3.5" style="13" customWidth="1"/>
    <col min="22" max="22" width="24.75" customWidth="1"/>
    <col min="30" max="30" width="64.25" bestFit="1" customWidth="1"/>
  </cols>
  <sheetData>
    <row r="1" spans="2:30">
      <c r="C1" s="12" t="s">
        <v>430</v>
      </c>
      <c r="D1" s="12" t="s">
        <v>3</v>
      </c>
      <c r="E1" s="12" t="s">
        <v>25</v>
      </c>
      <c r="F1" s="12" t="s">
        <v>431</v>
      </c>
      <c r="G1" s="12" t="s">
        <v>422</v>
      </c>
      <c r="H1" s="12" t="s">
        <v>424</v>
      </c>
      <c r="I1" s="12" t="s">
        <v>423</v>
      </c>
      <c r="J1" s="12" t="s">
        <v>422</v>
      </c>
      <c r="K1" s="12" t="s">
        <v>431</v>
      </c>
      <c r="L1" s="12" t="s">
        <v>431</v>
      </c>
      <c r="M1" s="12" t="s">
        <v>431</v>
      </c>
      <c r="N1" s="12"/>
      <c r="O1" s="12"/>
      <c r="P1" s="12"/>
      <c r="Q1" s="12"/>
    </row>
    <row r="2" spans="2:30">
      <c r="C2" s="12">
        <v>1</v>
      </c>
      <c r="D2" s="12">
        <v>1</v>
      </c>
      <c r="E2" s="12">
        <v>1</v>
      </c>
      <c r="G2" s="12">
        <v>1</v>
      </c>
      <c r="H2" s="12">
        <v>1</v>
      </c>
      <c r="I2" s="14">
        <v>1</v>
      </c>
      <c r="J2" s="12">
        <v>1</v>
      </c>
      <c r="K2" s="9" t="s">
        <v>290</v>
      </c>
      <c r="L2" s="9" t="s">
        <v>440</v>
      </c>
      <c r="M2" s="9" t="s">
        <v>196</v>
      </c>
      <c r="N2" s="12"/>
      <c r="O2" s="12"/>
      <c r="P2" s="12"/>
      <c r="AA2" t="s">
        <v>432</v>
      </c>
      <c r="AB2" t="s">
        <v>433</v>
      </c>
      <c r="AC2" t="s">
        <v>527</v>
      </c>
      <c r="AD2" t="s">
        <v>434</v>
      </c>
    </row>
    <row r="3" spans="2:30">
      <c r="C3" s="12">
        <v>1</v>
      </c>
      <c r="D3" s="12">
        <v>1</v>
      </c>
      <c r="E3" s="12">
        <v>1</v>
      </c>
      <c r="G3" s="12">
        <v>1</v>
      </c>
      <c r="H3" s="12">
        <v>1</v>
      </c>
      <c r="I3" s="14">
        <v>2</v>
      </c>
      <c r="J3" s="12">
        <v>1</v>
      </c>
      <c r="K3" s="9" t="s">
        <v>290</v>
      </c>
      <c r="L3" s="9" t="s">
        <v>440</v>
      </c>
      <c r="M3" s="9" t="s">
        <v>505</v>
      </c>
      <c r="N3" s="12"/>
      <c r="O3" s="12"/>
      <c r="P3" s="12"/>
    </row>
    <row r="4" spans="2:30">
      <c r="C4" s="12">
        <v>1</v>
      </c>
      <c r="D4" s="12">
        <v>1</v>
      </c>
      <c r="E4" s="12">
        <v>1</v>
      </c>
      <c r="G4" s="12">
        <v>1</v>
      </c>
      <c r="H4" s="12">
        <v>1</v>
      </c>
      <c r="I4" s="14">
        <v>3</v>
      </c>
      <c r="J4" s="12">
        <v>1</v>
      </c>
      <c r="K4" s="9" t="s">
        <v>290</v>
      </c>
      <c r="L4" s="9" t="s">
        <v>440</v>
      </c>
      <c r="M4" s="9" t="s">
        <v>205</v>
      </c>
      <c r="N4" s="12"/>
      <c r="O4" s="12"/>
      <c r="P4" s="12"/>
    </row>
    <row r="5" spans="2:30">
      <c r="C5" s="12">
        <v>2</v>
      </c>
      <c r="D5" s="12">
        <v>1</v>
      </c>
      <c r="E5" s="12">
        <v>2</v>
      </c>
      <c r="G5" s="12">
        <v>1</v>
      </c>
      <c r="H5" s="12">
        <v>6</v>
      </c>
      <c r="I5" s="12">
        <v>5</v>
      </c>
      <c r="J5" s="12">
        <v>2</v>
      </c>
      <c r="K5" s="9" t="s">
        <v>509</v>
      </c>
      <c r="L5" s="9" t="s">
        <v>449</v>
      </c>
      <c r="M5" s="9" t="s">
        <v>214</v>
      </c>
      <c r="N5" s="12"/>
      <c r="O5" s="12"/>
      <c r="P5" s="12"/>
      <c r="AA5" t="s">
        <v>435</v>
      </c>
      <c r="AB5" t="s">
        <v>436</v>
      </c>
      <c r="AD5" t="s">
        <v>437</v>
      </c>
    </row>
    <row r="6" spans="2:30">
      <c r="C6" s="12">
        <v>3</v>
      </c>
      <c r="D6" s="12">
        <v>1</v>
      </c>
      <c r="E6" s="12">
        <v>3</v>
      </c>
      <c r="G6" s="12">
        <v>1</v>
      </c>
      <c r="H6" s="12">
        <v>2</v>
      </c>
      <c r="I6" s="12">
        <v>6</v>
      </c>
      <c r="J6" s="12">
        <v>4</v>
      </c>
      <c r="K6" s="9" t="s">
        <v>300</v>
      </c>
      <c r="L6" s="9" t="s">
        <v>528</v>
      </c>
      <c r="M6" s="9" t="s">
        <v>218</v>
      </c>
      <c r="N6" s="12"/>
      <c r="O6" s="12"/>
      <c r="P6" s="12"/>
      <c r="AA6" t="s">
        <v>438</v>
      </c>
      <c r="AB6" t="s">
        <v>436</v>
      </c>
      <c r="AC6" t="s">
        <v>518</v>
      </c>
      <c r="AD6" t="s">
        <v>440</v>
      </c>
    </row>
    <row r="7" spans="2:30">
      <c r="C7" s="12">
        <v>4</v>
      </c>
      <c r="D7" s="12">
        <v>1</v>
      </c>
      <c r="E7" s="12">
        <v>4</v>
      </c>
      <c r="G7" s="12">
        <v>1</v>
      </c>
      <c r="H7" s="12">
        <v>2</v>
      </c>
      <c r="I7" s="12">
        <v>16</v>
      </c>
      <c r="J7" s="12">
        <v>5</v>
      </c>
      <c r="K7" s="9" t="s">
        <v>529</v>
      </c>
      <c r="L7" s="9" t="s">
        <v>528</v>
      </c>
      <c r="M7" s="9" t="s">
        <v>264</v>
      </c>
      <c r="N7" s="12"/>
      <c r="O7" s="12"/>
      <c r="P7" s="12"/>
      <c r="AA7" t="s">
        <v>438</v>
      </c>
      <c r="AB7" t="s">
        <v>436</v>
      </c>
      <c r="AC7" t="s">
        <v>519</v>
      </c>
      <c r="AD7" t="s">
        <v>528</v>
      </c>
    </row>
    <row r="8" spans="2:30">
      <c r="C8" s="12">
        <v>5</v>
      </c>
      <c r="D8" s="12">
        <v>1</v>
      </c>
      <c r="E8" s="12">
        <v>5</v>
      </c>
      <c r="G8" s="12">
        <v>1</v>
      </c>
      <c r="H8" s="12">
        <v>3</v>
      </c>
      <c r="I8" s="12">
        <v>9</v>
      </c>
      <c r="J8" s="12">
        <v>3</v>
      </c>
      <c r="K8" s="9" t="s">
        <v>297</v>
      </c>
      <c r="L8" s="9" t="s">
        <v>443</v>
      </c>
      <c r="M8" s="9" t="s">
        <v>231</v>
      </c>
      <c r="N8" s="12"/>
      <c r="O8" s="12"/>
      <c r="P8" s="12"/>
      <c r="AA8" t="s">
        <v>438</v>
      </c>
      <c r="AB8" t="s">
        <v>436</v>
      </c>
      <c r="AC8" t="s">
        <v>520</v>
      </c>
      <c r="AD8" t="s">
        <v>443</v>
      </c>
    </row>
    <row r="9" spans="2:30">
      <c r="C9" s="12">
        <v>6</v>
      </c>
      <c r="D9" s="12">
        <v>1</v>
      </c>
      <c r="E9" s="12">
        <v>6</v>
      </c>
      <c r="G9" s="12">
        <v>1</v>
      </c>
      <c r="H9" s="12">
        <v>5</v>
      </c>
      <c r="I9" s="12">
        <v>20</v>
      </c>
      <c r="L9" s="9" t="s">
        <v>447</v>
      </c>
      <c r="M9" s="9" t="s">
        <v>282</v>
      </c>
      <c r="N9" s="12"/>
      <c r="O9" s="12"/>
      <c r="P9" s="12"/>
      <c r="AA9" t="s">
        <v>438</v>
      </c>
      <c r="AB9" t="s">
        <v>436</v>
      </c>
      <c r="AC9" t="s">
        <v>521</v>
      </c>
      <c r="AD9" t="s">
        <v>445</v>
      </c>
    </row>
    <row r="10" spans="2:30">
      <c r="B10" s="12"/>
      <c r="C10" s="12">
        <v>7</v>
      </c>
      <c r="D10" s="12">
        <v>1</v>
      </c>
      <c r="E10" s="12">
        <v>7</v>
      </c>
      <c r="N10" s="12"/>
      <c r="O10" s="12"/>
      <c r="P10" s="12"/>
      <c r="AA10" t="s">
        <v>438</v>
      </c>
      <c r="AB10" t="s">
        <v>436</v>
      </c>
      <c r="AC10" t="s">
        <v>522</v>
      </c>
      <c r="AD10" t="s">
        <v>447</v>
      </c>
    </row>
    <row r="11" spans="2:30">
      <c r="C11" s="12">
        <v>8</v>
      </c>
      <c r="D11" s="12">
        <v>2</v>
      </c>
      <c r="E11" s="12">
        <v>1</v>
      </c>
      <c r="G11" s="12">
        <v>1</v>
      </c>
      <c r="H11" s="12">
        <v>5</v>
      </c>
      <c r="I11" s="12">
        <v>7</v>
      </c>
      <c r="J11" s="12">
        <v>6</v>
      </c>
      <c r="K11" s="9" t="s">
        <v>510</v>
      </c>
      <c r="L11" s="9" t="s">
        <v>447</v>
      </c>
      <c r="M11" s="9" t="s">
        <v>221</v>
      </c>
      <c r="N11" s="12"/>
      <c r="O11" s="12"/>
      <c r="P11" s="12"/>
      <c r="AA11" t="s">
        <v>438</v>
      </c>
      <c r="AB11" t="s">
        <v>436</v>
      </c>
      <c r="AC11" t="s">
        <v>523</v>
      </c>
      <c r="AD11" t="s">
        <v>449</v>
      </c>
    </row>
    <row r="12" spans="2:30">
      <c r="C12" s="12">
        <v>9</v>
      </c>
      <c r="D12" s="12">
        <v>2</v>
      </c>
      <c r="E12" s="12">
        <v>2</v>
      </c>
      <c r="G12" s="12">
        <v>1</v>
      </c>
      <c r="H12" s="12">
        <v>5</v>
      </c>
      <c r="I12" s="12">
        <v>8</v>
      </c>
      <c r="J12" s="12">
        <v>7</v>
      </c>
      <c r="K12" s="9" t="s">
        <v>511</v>
      </c>
      <c r="L12" s="9" t="s">
        <v>447</v>
      </c>
      <c r="M12" s="9" t="s">
        <v>226</v>
      </c>
      <c r="N12" s="12"/>
      <c r="O12" s="12"/>
      <c r="P12" s="12"/>
      <c r="AA12" t="s">
        <v>435</v>
      </c>
      <c r="AB12" t="s">
        <v>450</v>
      </c>
      <c r="AD12" t="s">
        <v>451</v>
      </c>
    </row>
    <row r="13" spans="2:30">
      <c r="B13" s="12"/>
      <c r="C13" s="12">
        <v>10</v>
      </c>
      <c r="D13" s="12">
        <v>2</v>
      </c>
      <c r="E13" s="12">
        <v>3</v>
      </c>
      <c r="G13" s="12">
        <v>4</v>
      </c>
      <c r="H13" s="12">
        <v>8</v>
      </c>
      <c r="J13" s="12">
        <v>8</v>
      </c>
      <c r="K13" s="9" t="s">
        <v>512</v>
      </c>
      <c r="L13" s="9" t="s">
        <v>503</v>
      </c>
      <c r="N13" s="12"/>
      <c r="O13" s="12"/>
      <c r="P13" s="12"/>
      <c r="AA13" t="s">
        <v>438</v>
      </c>
      <c r="AB13" t="s">
        <v>450</v>
      </c>
      <c r="AC13" t="s">
        <v>518</v>
      </c>
      <c r="AD13" t="s">
        <v>453</v>
      </c>
    </row>
    <row r="14" spans="2:30">
      <c r="C14" s="12">
        <v>11</v>
      </c>
      <c r="D14" s="12">
        <v>2</v>
      </c>
      <c r="E14" s="12">
        <v>4</v>
      </c>
      <c r="G14" s="12">
        <v>1</v>
      </c>
      <c r="H14" s="12">
        <v>4</v>
      </c>
      <c r="I14" s="12">
        <v>11</v>
      </c>
      <c r="J14" s="12">
        <v>9</v>
      </c>
      <c r="K14" s="9" t="s">
        <v>316</v>
      </c>
      <c r="L14" s="9" t="s">
        <v>445</v>
      </c>
      <c r="M14" s="9" t="s">
        <v>241</v>
      </c>
      <c r="N14" s="12"/>
      <c r="O14" s="12"/>
      <c r="P14" s="12"/>
      <c r="AA14" t="s">
        <v>438</v>
      </c>
      <c r="AB14" t="s">
        <v>450</v>
      </c>
      <c r="AC14" t="s">
        <v>519</v>
      </c>
      <c r="AD14" t="s">
        <v>455</v>
      </c>
    </row>
    <row r="15" spans="2:30">
      <c r="C15" s="12">
        <v>12</v>
      </c>
      <c r="D15" s="12">
        <v>2</v>
      </c>
      <c r="E15" s="12">
        <v>5</v>
      </c>
      <c r="G15" s="12">
        <v>2</v>
      </c>
      <c r="H15" s="12">
        <v>2</v>
      </c>
      <c r="L15" s="9" t="s">
        <v>455</v>
      </c>
      <c r="N15" s="12"/>
      <c r="O15" s="12"/>
      <c r="P15" s="12"/>
      <c r="AA15" t="s">
        <v>438</v>
      </c>
      <c r="AB15" t="s">
        <v>450</v>
      </c>
      <c r="AC15" t="s">
        <v>520</v>
      </c>
      <c r="AD15" t="s">
        <v>457</v>
      </c>
    </row>
    <row r="16" spans="2:30">
      <c r="C16" s="12">
        <v>13</v>
      </c>
      <c r="D16" s="12">
        <v>2</v>
      </c>
      <c r="E16" s="12">
        <v>6</v>
      </c>
      <c r="G16" s="12">
        <v>2</v>
      </c>
      <c r="H16" s="12">
        <v>3</v>
      </c>
      <c r="I16" s="12">
        <v>12</v>
      </c>
      <c r="J16" s="12">
        <v>10</v>
      </c>
      <c r="K16" s="9" t="s">
        <v>506</v>
      </c>
      <c r="L16" s="9" t="s">
        <v>457</v>
      </c>
      <c r="M16" s="9" t="s">
        <v>506</v>
      </c>
      <c r="N16" s="12"/>
      <c r="O16" s="12"/>
      <c r="P16" s="12"/>
      <c r="AA16" t="s">
        <v>438</v>
      </c>
      <c r="AB16" t="s">
        <v>450</v>
      </c>
      <c r="AC16" t="s">
        <v>521</v>
      </c>
      <c r="AD16" t="s">
        <v>459</v>
      </c>
    </row>
    <row r="17" spans="2:30">
      <c r="B17" s="12"/>
      <c r="C17" s="12">
        <v>14</v>
      </c>
      <c r="D17" s="12">
        <v>2</v>
      </c>
      <c r="E17" s="12">
        <v>7</v>
      </c>
      <c r="N17" s="12"/>
      <c r="O17" s="12"/>
      <c r="P17" s="12"/>
      <c r="AA17" t="s">
        <v>438</v>
      </c>
      <c r="AB17" t="s">
        <v>450</v>
      </c>
      <c r="AC17" t="s">
        <v>522</v>
      </c>
      <c r="AD17" t="s">
        <v>461</v>
      </c>
    </row>
    <row r="18" spans="2:30">
      <c r="C18" s="12">
        <v>15</v>
      </c>
      <c r="D18" s="12">
        <v>3</v>
      </c>
      <c r="E18" s="12">
        <v>1</v>
      </c>
      <c r="G18" s="12">
        <v>2</v>
      </c>
      <c r="H18" s="12">
        <v>1</v>
      </c>
      <c r="L18" s="9" t="s">
        <v>453</v>
      </c>
      <c r="N18" s="12"/>
      <c r="O18" s="12"/>
      <c r="P18" s="12"/>
      <c r="AA18" t="s">
        <v>438</v>
      </c>
      <c r="AB18" t="s">
        <v>450</v>
      </c>
      <c r="AC18" t="s">
        <v>523</v>
      </c>
      <c r="AD18" t="s">
        <v>463</v>
      </c>
    </row>
    <row r="19" spans="2:30">
      <c r="C19" s="12">
        <v>16</v>
      </c>
      <c r="D19" s="12">
        <v>3</v>
      </c>
      <c r="E19" s="12">
        <v>2</v>
      </c>
      <c r="G19" s="12">
        <v>2</v>
      </c>
      <c r="H19" s="12">
        <v>1</v>
      </c>
      <c r="I19" s="12">
        <v>4</v>
      </c>
      <c r="J19" s="12">
        <v>19</v>
      </c>
      <c r="K19" s="9" t="s">
        <v>348</v>
      </c>
      <c r="L19" s="9" t="s">
        <v>453</v>
      </c>
      <c r="M19" s="9" t="s">
        <v>209</v>
      </c>
      <c r="N19" s="12"/>
      <c r="O19" s="12"/>
      <c r="P19" s="12"/>
      <c r="AA19" t="s">
        <v>438</v>
      </c>
      <c r="AB19" t="s">
        <v>450</v>
      </c>
      <c r="AC19" t="s">
        <v>524</v>
      </c>
      <c r="AD19" t="s">
        <v>465</v>
      </c>
    </row>
    <row r="20" spans="2:30">
      <c r="C20" s="12">
        <v>17</v>
      </c>
      <c r="D20" s="12">
        <v>3</v>
      </c>
      <c r="E20" s="12">
        <v>3</v>
      </c>
      <c r="G20" s="12">
        <v>2</v>
      </c>
      <c r="H20" s="12">
        <v>4</v>
      </c>
      <c r="I20" s="12">
        <v>17</v>
      </c>
      <c r="J20" s="12">
        <v>15</v>
      </c>
      <c r="K20" s="9" t="s">
        <v>515</v>
      </c>
      <c r="L20" s="9" t="s">
        <v>459</v>
      </c>
      <c r="M20" s="9" t="s">
        <v>268</v>
      </c>
      <c r="N20" s="12"/>
      <c r="O20" s="12"/>
      <c r="P20" s="12"/>
      <c r="AA20" t="s">
        <v>438</v>
      </c>
      <c r="AB20" t="s">
        <v>450</v>
      </c>
      <c r="AC20" t="s">
        <v>525</v>
      </c>
      <c r="AD20" t="s">
        <v>467</v>
      </c>
    </row>
    <row r="21" spans="2:30">
      <c r="B21" s="12"/>
      <c r="C21" s="12">
        <v>18</v>
      </c>
      <c r="D21" s="12">
        <v>3</v>
      </c>
      <c r="E21" s="12">
        <v>4</v>
      </c>
      <c r="J21" s="12">
        <v>16</v>
      </c>
      <c r="K21" s="9" t="s">
        <v>516</v>
      </c>
      <c r="N21" s="12"/>
      <c r="O21" s="12"/>
      <c r="P21" s="12"/>
      <c r="AA21" t="s">
        <v>438</v>
      </c>
      <c r="AB21" t="s">
        <v>450</v>
      </c>
      <c r="AC21" t="s">
        <v>526</v>
      </c>
      <c r="AD21" t="s">
        <v>469</v>
      </c>
    </row>
    <row r="22" spans="2:30">
      <c r="C22" s="12">
        <v>19</v>
      </c>
      <c r="D22" s="12">
        <v>3</v>
      </c>
      <c r="E22" s="12">
        <v>5</v>
      </c>
      <c r="G22" s="12">
        <v>2</v>
      </c>
      <c r="H22" s="12">
        <v>6</v>
      </c>
      <c r="I22" s="12">
        <v>13</v>
      </c>
      <c r="J22" s="12">
        <v>13</v>
      </c>
      <c r="K22" s="9" t="s">
        <v>327</v>
      </c>
      <c r="L22" s="9" t="s">
        <v>463</v>
      </c>
      <c r="M22" s="9" t="s">
        <v>250</v>
      </c>
      <c r="N22" s="14"/>
      <c r="O22" s="14"/>
      <c r="P22" s="14"/>
      <c r="AA22" t="s">
        <v>435</v>
      </c>
      <c r="AB22" t="s">
        <v>470</v>
      </c>
      <c r="AD22" t="s">
        <v>471</v>
      </c>
    </row>
    <row r="23" spans="2:30">
      <c r="C23" s="12">
        <v>20</v>
      </c>
      <c r="D23" s="12">
        <v>3</v>
      </c>
      <c r="E23" s="12">
        <v>6</v>
      </c>
      <c r="G23" s="12">
        <v>2</v>
      </c>
      <c r="H23" s="12">
        <v>7</v>
      </c>
      <c r="I23" s="12">
        <v>10</v>
      </c>
      <c r="J23" s="12">
        <v>11</v>
      </c>
      <c r="K23" s="9" t="s">
        <v>513</v>
      </c>
      <c r="L23" s="9" t="s">
        <v>465</v>
      </c>
      <c r="M23" s="9" t="s">
        <v>236</v>
      </c>
      <c r="N23" s="12"/>
      <c r="O23" s="12"/>
      <c r="P23" s="12"/>
      <c r="AA23" t="s">
        <v>438</v>
      </c>
      <c r="AB23" t="s">
        <v>470</v>
      </c>
      <c r="AC23" t="s">
        <v>518</v>
      </c>
      <c r="AD23" t="s">
        <v>473</v>
      </c>
    </row>
    <row r="24" spans="2:30">
      <c r="B24" s="12"/>
      <c r="C24" s="12">
        <v>21</v>
      </c>
      <c r="D24" s="12">
        <v>3</v>
      </c>
      <c r="E24" s="12">
        <v>7</v>
      </c>
      <c r="I24" s="12">
        <v>15</v>
      </c>
      <c r="J24" s="12">
        <v>14</v>
      </c>
      <c r="K24" s="9" t="s">
        <v>331</v>
      </c>
      <c r="M24" s="9" t="s">
        <v>259</v>
      </c>
      <c r="N24" s="14"/>
      <c r="O24" s="14"/>
      <c r="P24" s="14"/>
      <c r="AA24" t="s">
        <v>438</v>
      </c>
      <c r="AB24" t="s">
        <v>470</v>
      </c>
      <c r="AC24" t="s">
        <v>519</v>
      </c>
      <c r="AD24" t="s">
        <v>475</v>
      </c>
    </row>
    <row r="25" spans="2:30">
      <c r="C25" s="12">
        <v>22</v>
      </c>
      <c r="D25" s="12">
        <v>4</v>
      </c>
      <c r="E25" s="12">
        <v>1</v>
      </c>
      <c r="G25" s="12">
        <v>2</v>
      </c>
      <c r="H25" s="12">
        <v>8</v>
      </c>
      <c r="I25" s="12">
        <v>14</v>
      </c>
      <c r="J25" s="12">
        <v>12</v>
      </c>
      <c r="K25" s="9" t="s">
        <v>514</v>
      </c>
      <c r="L25" s="9" t="s">
        <v>467</v>
      </c>
      <c r="M25" s="9" t="s">
        <v>507</v>
      </c>
      <c r="N25" s="12"/>
      <c r="O25" s="12"/>
      <c r="P25" s="12"/>
      <c r="AA25" t="s">
        <v>438</v>
      </c>
      <c r="AB25" t="s">
        <v>470</v>
      </c>
      <c r="AC25" t="s">
        <v>520</v>
      </c>
      <c r="AD25" t="s">
        <v>477</v>
      </c>
    </row>
    <row r="26" spans="2:30">
      <c r="B26" s="12"/>
      <c r="C26" s="12">
        <v>23</v>
      </c>
      <c r="D26" s="12">
        <v>4</v>
      </c>
      <c r="E26" s="12">
        <v>2</v>
      </c>
      <c r="G26" s="12">
        <v>2</v>
      </c>
      <c r="H26" s="12">
        <v>9</v>
      </c>
      <c r="L26" s="9" t="s">
        <v>469</v>
      </c>
      <c r="N26" s="12"/>
      <c r="O26" s="12"/>
      <c r="P26" s="12"/>
      <c r="AA26" t="s">
        <v>438</v>
      </c>
      <c r="AB26" t="s">
        <v>470</v>
      </c>
      <c r="AC26" t="s">
        <v>521</v>
      </c>
      <c r="AD26" t="s">
        <v>479</v>
      </c>
    </row>
    <row r="27" spans="2:30">
      <c r="C27" s="12">
        <v>24</v>
      </c>
      <c r="D27" s="12">
        <v>4</v>
      </c>
      <c r="E27" s="12">
        <v>3</v>
      </c>
      <c r="G27" s="12">
        <v>2</v>
      </c>
      <c r="H27" s="12">
        <v>5</v>
      </c>
      <c r="L27" s="9" t="s">
        <v>461</v>
      </c>
      <c r="N27" s="12"/>
      <c r="O27" s="12"/>
      <c r="P27" s="12"/>
      <c r="AA27" t="s">
        <v>438</v>
      </c>
      <c r="AB27" t="s">
        <v>470</v>
      </c>
      <c r="AC27" t="s">
        <v>522</v>
      </c>
      <c r="AD27" t="s">
        <v>481</v>
      </c>
    </row>
    <row r="28" spans="2:30">
      <c r="B28" s="12">
        <v>1</v>
      </c>
      <c r="C28" s="12">
        <v>25</v>
      </c>
      <c r="D28" s="12">
        <v>4</v>
      </c>
      <c r="E28" s="12">
        <v>4</v>
      </c>
      <c r="G28" s="12">
        <v>3</v>
      </c>
      <c r="H28" s="14">
        <v>1</v>
      </c>
      <c r="I28" s="15">
        <v>19</v>
      </c>
      <c r="J28" s="14">
        <v>18</v>
      </c>
      <c r="K28" s="9" t="s">
        <v>345</v>
      </c>
      <c r="L28" s="9" t="s">
        <v>473</v>
      </c>
      <c r="M28" s="9" t="s">
        <v>277</v>
      </c>
      <c r="N28" s="12"/>
      <c r="O28" s="12"/>
      <c r="P28" s="12"/>
      <c r="AA28" t="s">
        <v>438</v>
      </c>
      <c r="AB28" t="s">
        <v>470</v>
      </c>
      <c r="AC28" t="s">
        <v>523</v>
      </c>
      <c r="AD28" t="s">
        <v>483</v>
      </c>
    </row>
    <row r="29" spans="2:30">
      <c r="B29" s="12">
        <v>2</v>
      </c>
      <c r="C29" s="12">
        <v>25</v>
      </c>
      <c r="D29" s="12">
        <v>4</v>
      </c>
      <c r="E29" s="12">
        <v>4</v>
      </c>
      <c r="G29" s="12">
        <v>3</v>
      </c>
      <c r="H29" s="14">
        <v>2</v>
      </c>
      <c r="I29" s="15">
        <v>19</v>
      </c>
      <c r="J29" s="14">
        <v>19</v>
      </c>
      <c r="K29" s="9" t="s">
        <v>348</v>
      </c>
      <c r="L29" s="9" t="s">
        <v>475</v>
      </c>
      <c r="M29" s="9" t="s">
        <v>277</v>
      </c>
      <c r="N29" s="12"/>
      <c r="O29" s="12"/>
      <c r="P29" s="12"/>
      <c r="AA29" t="s">
        <v>438</v>
      </c>
      <c r="AB29" t="s">
        <v>470</v>
      </c>
      <c r="AC29" t="s">
        <v>524</v>
      </c>
      <c r="AD29" t="s">
        <v>485</v>
      </c>
    </row>
    <row r="30" spans="2:30">
      <c r="B30" s="12">
        <v>1</v>
      </c>
      <c r="C30" s="12">
        <v>26</v>
      </c>
      <c r="D30" s="12">
        <v>4</v>
      </c>
      <c r="E30" s="12">
        <v>5</v>
      </c>
      <c r="G30" s="12">
        <v>3</v>
      </c>
      <c r="H30" s="14">
        <v>3</v>
      </c>
      <c r="I30" s="15">
        <v>18</v>
      </c>
      <c r="L30" s="9" t="s">
        <v>477</v>
      </c>
      <c r="M30" s="9" t="s">
        <v>272</v>
      </c>
      <c r="N30" s="12"/>
      <c r="O30" s="12"/>
      <c r="P30" s="12"/>
      <c r="AA30" t="s">
        <v>435</v>
      </c>
      <c r="AB30" t="s">
        <v>486</v>
      </c>
      <c r="AD30" t="s">
        <v>487</v>
      </c>
    </row>
    <row r="31" spans="2:30">
      <c r="B31" s="12">
        <v>2</v>
      </c>
      <c r="C31" s="12">
        <v>26</v>
      </c>
      <c r="D31" s="12">
        <v>4</v>
      </c>
      <c r="E31" s="12">
        <v>5</v>
      </c>
      <c r="G31" s="12">
        <v>3</v>
      </c>
      <c r="H31" s="14">
        <v>4</v>
      </c>
      <c r="I31" s="15">
        <v>18</v>
      </c>
      <c r="L31" s="9" t="s">
        <v>479</v>
      </c>
      <c r="M31" s="9" t="s">
        <v>272</v>
      </c>
      <c r="N31" s="12"/>
      <c r="O31" s="12"/>
      <c r="P31" s="12"/>
      <c r="AA31" t="s">
        <v>438</v>
      </c>
      <c r="AB31" t="s">
        <v>486</v>
      </c>
      <c r="AC31" t="s">
        <v>518</v>
      </c>
      <c r="AD31" t="s">
        <v>489</v>
      </c>
    </row>
    <row r="32" spans="2:30">
      <c r="B32" s="12">
        <v>1</v>
      </c>
      <c r="C32" s="12">
        <v>27</v>
      </c>
      <c r="D32" s="12">
        <v>4</v>
      </c>
      <c r="E32" s="12">
        <v>6</v>
      </c>
      <c r="G32" s="12">
        <v>3</v>
      </c>
      <c r="H32" s="14">
        <v>5</v>
      </c>
      <c r="L32" s="9" t="s">
        <v>481</v>
      </c>
      <c r="N32" s="12"/>
      <c r="O32" s="12"/>
      <c r="P32" s="12"/>
      <c r="AA32" t="s">
        <v>438</v>
      </c>
      <c r="AB32" t="s">
        <v>486</v>
      </c>
      <c r="AC32" t="s">
        <v>519</v>
      </c>
      <c r="AD32" t="s">
        <v>491</v>
      </c>
    </row>
    <row r="33" spans="2:30">
      <c r="B33" s="12">
        <v>2</v>
      </c>
      <c r="C33" s="12">
        <v>27</v>
      </c>
      <c r="D33" s="12">
        <v>4</v>
      </c>
      <c r="E33" s="12">
        <v>6</v>
      </c>
      <c r="G33" s="12">
        <v>3</v>
      </c>
      <c r="H33" s="14">
        <v>6</v>
      </c>
      <c r="L33" s="9" t="s">
        <v>483</v>
      </c>
      <c r="N33" s="12"/>
      <c r="O33" s="12"/>
      <c r="P33" s="12"/>
      <c r="AA33" t="s">
        <v>438</v>
      </c>
      <c r="AB33" t="s">
        <v>486</v>
      </c>
      <c r="AC33" t="s">
        <v>520</v>
      </c>
      <c r="AD33" t="s">
        <v>493</v>
      </c>
    </row>
    <row r="34" spans="2:30">
      <c r="B34" s="12">
        <v>3</v>
      </c>
      <c r="C34" s="12">
        <v>27</v>
      </c>
      <c r="D34" s="12">
        <v>4</v>
      </c>
      <c r="E34" s="12">
        <v>6</v>
      </c>
      <c r="G34" s="12">
        <v>3</v>
      </c>
      <c r="H34" s="14">
        <v>7</v>
      </c>
      <c r="L34" s="9" t="s">
        <v>485</v>
      </c>
      <c r="N34" s="12"/>
      <c r="O34" s="12"/>
      <c r="P34" s="12"/>
      <c r="AA34" t="s">
        <v>438</v>
      </c>
      <c r="AB34" t="s">
        <v>486</v>
      </c>
      <c r="AC34" t="s">
        <v>521</v>
      </c>
      <c r="AD34" t="s">
        <v>495</v>
      </c>
    </row>
    <row r="35" spans="2:30">
      <c r="B35" s="12"/>
      <c r="C35" s="12">
        <v>28</v>
      </c>
      <c r="D35" s="12">
        <v>4</v>
      </c>
      <c r="E35" s="12">
        <v>7</v>
      </c>
      <c r="N35" s="12"/>
      <c r="O35" s="12"/>
      <c r="P35" s="12"/>
      <c r="AA35" t="s">
        <v>438</v>
      </c>
      <c r="AB35" t="s">
        <v>486</v>
      </c>
      <c r="AC35" t="s">
        <v>522</v>
      </c>
      <c r="AD35" t="s">
        <v>497</v>
      </c>
    </row>
    <row r="36" spans="2:30">
      <c r="B36" s="12">
        <v>1</v>
      </c>
      <c r="C36" s="12">
        <v>29</v>
      </c>
      <c r="D36" s="12">
        <v>5</v>
      </c>
      <c r="E36" s="12">
        <v>1</v>
      </c>
      <c r="G36" s="12">
        <v>4</v>
      </c>
      <c r="H36" s="14">
        <v>1</v>
      </c>
      <c r="J36" s="12">
        <v>17</v>
      </c>
      <c r="K36" s="9" t="s">
        <v>530</v>
      </c>
      <c r="L36" s="9" t="s">
        <v>489</v>
      </c>
      <c r="N36" s="12"/>
      <c r="O36" s="12"/>
      <c r="P36" s="12"/>
      <c r="AA36" t="s">
        <v>438</v>
      </c>
      <c r="AB36" t="s">
        <v>486</v>
      </c>
      <c r="AC36" t="s">
        <v>523</v>
      </c>
      <c r="AD36" t="s">
        <v>499</v>
      </c>
    </row>
    <row r="37" spans="2:30">
      <c r="B37" s="12">
        <v>2</v>
      </c>
      <c r="C37" s="12">
        <v>29</v>
      </c>
      <c r="D37" s="12">
        <v>5</v>
      </c>
      <c r="E37" s="12">
        <v>1</v>
      </c>
      <c r="G37" s="12">
        <v>4</v>
      </c>
      <c r="H37" s="14">
        <v>2</v>
      </c>
      <c r="J37" s="12">
        <v>17</v>
      </c>
      <c r="K37" s="9" t="s">
        <v>530</v>
      </c>
      <c r="L37" s="9" t="s">
        <v>491</v>
      </c>
      <c r="N37" s="12"/>
      <c r="O37" s="12"/>
      <c r="P37" s="12"/>
      <c r="AA37" t="s">
        <v>438</v>
      </c>
      <c r="AB37" t="s">
        <v>486</v>
      </c>
      <c r="AC37" t="s">
        <v>524</v>
      </c>
      <c r="AD37" t="s">
        <v>501</v>
      </c>
    </row>
    <row r="38" spans="2:30">
      <c r="B38" s="12">
        <v>1</v>
      </c>
      <c r="C38" s="12">
        <v>30</v>
      </c>
      <c r="D38" s="12">
        <v>5</v>
      </c>
      <c r="E38" s="12">
        <v>2</v>
      </c>
      <c r="G38" s="12">
        <v>4</v>
      </c>
      <c r="H38" s="14">
        <v>3</v>
      </c>
      <c r="L38" s="9" t="s">
        <v>493</v>
      </c>
      <c r="N38" s="12"/>
      <c r="O38" s="12"/>
      <c r="P38" s="12"/>
      <c r="AA38" t="s">
        <v>438</v>
      </c>
      <c r="AB38" t="s">
        <v>486</v>
      </c>
      <c r="AC38" t="s">
        <v>525</v>
      </c>
      <c r="AD38" t="s">
        <v>503</v>
      </c>
    </row>
    <row r="39" spans="2:30">
      <c r="B39" s="12">
        <v>2</v>
      </c>
      <c r="C39" s="12">
        <v>30</v>
      </c>
      <c r="D39" s="12">
        <v>5</v>
      </c>
      <c r="E39" s="12">
        <v>2</v>
      </c>
      <c r="G39" s="12">
        <v>4</v>
      </c>
      <c r="H39" s="14">
        <v>4</v>
      </c>
      <c r="L39" s="9" t="s">
        <v>495</v>
      </c>
      <c r="N39" s="12"/>
      <c r="O39" s="12"/>
      <c r="P39" s="12"/>
      <c r="AA39" t="s">
        <v>504</v>
      </c>
      <c r="AB39" t="s">
        <v>195</v>
      </c>
      <c r="AD39" t="s">
        <v>196</v>
      </c>
    </row>
    <row r="40" spans="2:30">
      <c r="B40" s="12">
        <v>1</v>
      </c>
      <c r="C40" s="12">
        <v>31</v>
      </c>
      <c r="D40" s="12">
        <v>5</v>
      </c>
      <c r="E40" s="12">
        <v>3</v>
      </c>
      <c r="G40" s="12">
        <v>4</v>
      </c>
      <c r="H40" s="14">
        <v>5</v>
      </c>
      <c r="L40" s="9" t="s">
        <v>497</v>
      </c>
      <c r="N40" s="12"/>
      <c r="O40" s="12"/>
      <c r="P40" s="12"/>
      <c r="AA40" t="s">
        <v>504</v>
      </c>
      <c r="AB40" t="s">
        <v>201</v>
      </c>
      <c r="AD40" t="s">
        <v>505</v>
      </c>
    </row>
    <row r="41" spans="2:30">
      <c r="B41" s="12">
        <v>2</v>
      </c>
      <c r="C41" s="12">
        <v>31</v>
      </c>
      <c r="D41" s="12">
        <v>5</v>
      </c>
      <c r="E41" s="12">
        <v>3</v>
      </c>
      <c r="G41" s="12">
        <v>4</v>
      </c>
      <c r="H41" s="14">
        <v>6</v>
      </c>
      <c r="L41" s="9" t="s">
        <v>499</v>
      </c>
      <c r="N41" s="12"/>
      <c r="O41" s="12"/>
      <c r="P41" s="12"/>
      <c r="AA41" t="s">
        <v>504</v>
      </c>
      <c r="AB41" t="s">
        <v>204</v>
      </c>
      <c r="AD41" t="s">
        <v>205</v>
      </c>
    </row>
    <row r="42" spans="2:30">
      <c r="B42" s="12"/>
      <c r="C42" s="12">
        <v>32</v>
      </c>
      <c r="D42" s="12">
        <v>5</v>
      </c>
      <c r="E42" s="12">
        <v>4</v>
      </c>
      <c r="G42" s="12">
        <v>4</v>
      </c>
      <c r="H42" s="12">
        <v>7</v>
      </c>
      <c r="L42" s="9" t="s">
        <v>501</v>
      </c>
      <c r="N42" s="12"/>
      <c r="O42" s="12"/>
      <c r="P42" s="12"/>
      <c r="AA42" t="s">
        <v>504</v>
      </c>
      <c r="AB42" t="s">
        <v>208</v>
      </c>
      <c r="AD42" t="s">
        <v>209</v>
      </c>
    </row>
    <row r="43" spans="2:30">
      <c r="B43" s="12"/>
      <c r="C43" s="12">
        <v>33</v>
      </c>
      <c r="D43" s="12">
        <v>5</v>
      </c>
      <c r="E43" s="12">
        <v>5</v>
      </c>
      <c r="N43" s="12"/>
      <c r="O43" s="12"/>
      <c r="P43" s="12"/>
      <c r="AA43" t="s">
        <v>504</v>
      </c>
      <c r="AB43" t="s">
        <v>213</v>
      </c>
      <c r="AD43" t="s">
        <v>214</v>
      </c>
    </row>
    <row r="44" spans="2:30">
      <c r="C44" s="12">
        <v>34</v>
      </c>
      <c r="D44" s="12">
        <v>5</v>
      </c>
      <c r="E44" s="12">
        <v>6</v>
      </c>
      <c r="N44" s="12"/>
      <c r="O44" s="12"/>
      <c r="P44" s="12"/>
      <c r="AA44" t="s">
        <v>504</v>
      </c>
      <c r="AB44" t="s">
        <v>217</v>
      </c>
      <c r="AD44" t="s">
        <v>218</v>
      </c>
    </row>
    <row r="45" spans="2:30">
      <c r="C45" s="12">
        <v>35</v>
      </c>
      <c r="D45" s="12">
        <v>5</v>
      </c>
      <c r="E45" s="12">
        <v>7</v>
      </c>
      <c r="N45" s="12"/>
      <c r="O45" s="12"/>
      <c r="P45" s="12"/>
      <c r="AA45" t="s">
        <v>504</v>
      </c>
      <c r="AB45" t="s">
        <v>220</v>
      </c>
      <c r="AD45" t="s">
        <v>221</v>
      </c>
    </row>
    <row r="46" spans="2:30">
      <c r="C46" s="12">
        <v>36</v>
      </c>
      <c r="D46" s="12">
        <v>6</v>
      </c>
      <c r="E46" s="12">
        <v>1</v>
      </c>
      <c r="N46" s="12"/>
      <c r="O46" s="12"/>
      <c r="P46" s="12"/>
      <c r="AA46" t="s">
        <v>504</v>
      </c>
      <c r="AB46" t="s">
        <v>225</v>
      </c>
      <c r="AD46" t="s">
        <v>226</v>
      </c>
    </row>
    <row r="47" spans="2:30">
      <c r="C47" s="12">
        <v>37</v>
      </c>
      <c r="D47" s="12">
        <v>6</v>
      </c>
      <c r="E47" s="12">
        <v>2</v>
      </c>
      <c r="N47" s="12"/>
      <c r="O47" s="12"/>
      <c r="P47" s="12"/>
      <c r="AA47" t="s">
        <v>504</v>
      </c>
      <c r="AB47" t="s">
        <v>230</v>
      </c>
      <c r="AD47" t="s">
        <v>231</v>
      </c>
    </row>
    <row r="48" spans="2:30">
      <c r="C48" s="12">
        <v>38</v>
      </c>
      <c r="D48" s="12">
        <v>6</v>
      </c>
      <c r="E48" s="12">
        <v>3</v>
      </c>
      <c r="N48" s="12"/>
      <c r="O48" s="12"/>
      <c r="P48" s="12"/>
      <c r="AA48" t="s">
        <v>504</v>
      </c>
      <c r="AB48" t="s">
        <v>235</v>
      </c>
      <c r="AD48" t="s">
        <v>236</v>
      </c>
    </row>
    <row r="49" spans="3:30">
      <c r="C49" s="12">
        <v>39</v>
      </c>
      <c r="D49" s="12">
        <v>6</v>
      </c>
      <c r="E49" s="12">
        <v>4</v>
      </c>
      <c r="N49" s="12"/>
      <c r="O49" s="12"/>
      <c r="P49" s="12"/>
      <c r="AA49" t="s">
        <v>504</v>
      </c>
      <c r="AB49" t="s">
        <v>240</v>
      </c>
      <c r="AD49" t="s">
        <v>241</v>
      </c>
    </row>
    <row r="50" spans="3:30">
      <c r="C50" s="12">
        <v>40</v>
      </c>
      <c r="D50" s="12">
        <v>6</v>
      </c>
      <c r="E50" s="12">
        <v>5</v>
      </c>
      <c r="I50" s="12">
        <v>21</v>
      </c>
      <c r="J50" s="12">
        <v>20</v>
      </c>
      <c r="K50" s="9" t="s">
        <v>517</v>
      </c>
      <c r="M50" s="9" t="s">
        <v>286</v>
      </c>
      <c r="N50" s="12"/>
      <c r="O50" s="12"/>
      <c r="P50" s="12"/>
      <c r="AA50" t="s">
        <v>504</v>
      </c>
      <c r="AB50" t="s">
        <v>245</v>
      </c>
      <c r="AD50" t="s">
        <v>506</v>
      </c>
    </row>
    <row r="51" spans="3:30">
      <c r="C51" s="12">
        <v>41</v>
      </c>
      <c r="D51" s="12">
        <v>6</v>
      </c>
      <c r="E51" s="12">
        <v>6</v>
      </c>
      <c r="N51" s="12"/>
      <c r="O51" s="12"/>
      <c r="P51" s="12"/>
      <c r="AA51" t="s">
        <v>504</v>
      </c>
      <c r="AB51" t="s">
        <v>249</v>
      </c>
      <c r="AD51" t="s">
        <v>250</v>
      </c>
    </row>
    <row r="52" spans="3:30">
      <c r="C52" s="12">
        <v>42</v>
      </c>
      <c r="D52" s="12">
        <v>6</v>
      </c>
      <c r="E52" s="12">
        <v>7</v>
      </c>
      <c r="N52" s="12"/>
      <c r="O52" s="12"/>
      <c r="P52" s="12"/>
      <c r="AA52" t="s">
        <v>504</v>
      </c>
      <c r="AB52" t="s">
        <v>254</v>
      </c>
      <c r="AD52" t="s">
        <v>507</v>
      </c>
    </row>
    <row r="53" spans="3:30">
      <c r="AA53" t="s">
        <v>504</v>
      </c>
      <c r="AB53" t="s">
        <v>258</v>
      </c>
      <c r="AD53" t="s">
        <v>259</v>
      </c>
    </row>
    <row r="54" spans="3:30">
      <c r="AA54" t="s">
        <v>504</v>
      </c>
      <c r="AB54" t="s">
        <v>263</v>
      </c>
      <c r="AD54" t="s">
        <v>264</v>
      </c>
    </row>
    <row r="55" spans="3:30">
      <c r="AA55" t="s">
        <v>504</v>
      </c>
      <c r="AB55" t="s">
        <v>267</v>
      </c>
      <c r="AD55" t="s">
        <v>268</v>
      </c>
    </row>
    <row r="56" spans="3:30">
      <c r="AA56" t="s">
        <v>504</v>
      </c>
      <c r="AB56" t="s">
        <v>271</v>
      </c>
      <c r="AD56" t="s">
        <v>272</v>
      </c>
    </row>
    <row r="57" spans="3:30">
      <c r="AA57" t="s">
        <v>504</v>
      </c>
      <c r="AB57" t="s">
        <v>276</v>
      </c>
      <c r="AD57" t="s">
        <v>277</v>
      </c>
    </row>
    <row r="58" spans="3:30">
      <c r="AA58" t="s">
        <v>504</v>
      </c>
      <c r="AB58" t="s">
        <v>281</v>
      </c>
      <c r="AD58" t="s">
        <v>282</v>
      </c>
    </row>
    <row r="59" spans="3:30">
      <c r="AA59" t="s">
        <v>504</v>
      </c>
      <c r="AB59" t="s">
        <v>285</v>
      </c>
      <c r="AD59" t="s">
        <v>286</v>
      </c>
    </row>
    <row r="60" spans="3:30">
      <c r="AA60" t="s">
        <v>508</v>
      </c>
      <c r="AB60" t="s">
        <v>289</v>
      </c>
      <c r="AD60" t="s">
        <v>290</v>
      </c>
    </row>
    <row r="61" spans="3:30">
      <c r="AA61" t="s">
        <v>508</v>
      </c>
      <c r="AB61" t="s">
        <v>293</v>
      </c>
      <c r="AD61" t="s">
        <v>509</v>
      </c>
    </row>
    <row r="62" spans="3:30">
      <c r="AA62" t="s">
        <v>508</v>
      </c>
      <c r="AB62" t="s">
        <v>296</v>
      </c>
      <c r="AD62" t="s">
        <v>297</v>
      </c>
    </row>
    <row r="63" spans="3:30">
      <c r="AA63" t="s">
        <v>508</v>
      </c>
      <c r="AB63" t="s">
        <v>299</v>
      </c>
      <c r="AD63" t="s">
        <v>300</v>
      </c>
    </row>
    <row r="64" spans="3:30">
      <c r="AA64" t="s">
        <v>508</v>
      </c>
      <c r="AB64" t="s">
        <v>302</v>
      </c>
      <c r="AD64" t="s">
        <v>529</v>
      </c>
    </row>
    <row r="65" spans="27:30">
      <c r="AA65" t="s">
        <v>508</v>
      </c>
      <c r="AB65" t="s">
        <v>305</v>
      </c>
      <c r="AD65" t="s">
        <v>510</v>
      </c>
    </row>
    <row r="66" spans="27:30">
      <c r="AA66" t="s">
        <v>508</v>
      </c>
      <c r="AB66" t="s">
        <v>308</v>
      </c>
      <c r="AD66" t="s">
        <v>511</v>
      </c>
    </row>
    <row r="67" spans="27:30">
      <c r="AA67" t="s">
        <v>508</v>
      </c>
      <c r="AB67" t="s">
        <v>311</v>
      </c>
      <c r="AD67" t="s">
        <v>512</v>
      </c>
    </row>
    <row r="68" spans="27:30">
      <c r="AA68" t="s">
        <v>508</v>
      </c>
      <c r="AB68" t="s">
        <v>315</v>
      </c>
      <c r="AD68" t="s">
        <v>316</v>
      </c>
    </row>
    <row r="69" spans="27:30">
      <c r="AA69" t="s">
        <v>508</v>
      </c>
      <c r="AB69" t="s">
        <v>317</v>
      </c>
      <c r="AD69" t="s">
        <v>506</v>
      </c>
    </row>
    <row r="70" spans="27:30">
      <c r="AA70" t="s">
        <v>508</v>
      </c>
      <c r="AB70" t="s">
        <v>320</v>
      </c>
      <c r="AD70" t="s">
        <v>513</v>
      </c>
    </row>
    <row r="71" spans="27:30">
      <c r="AA71" t="s">
        <v>508</v>
      </c>
      <c r="AB71" t="s">
        <v>323</v>
      </c>
      <c r="AD71" t="s">
        <v>514</v>
      </c>
    </row>
    <row r="72" spans="27:30">
      <c r="AA72" t="s">
        <v>508</v>
      </c>
      <c r="AB72" t="s">
        <v>326</v>
      </c>
      <c r="AD72" t="s">
        <v>327</v>
      </c>
    </row>
    <row r="73" spans="27:30">
      <c r="AA73" t="s">
        <v>508</v>
      </c>
      <c r="AB73" t="s">
        <v>330</v>
      </c>
      <c r="AD73" t="s">
        <v>331</v>
      </c>
    </row>
    <row r="74" spans="27:30">
      <c r="AA74" t="s">
        <v>508</v>
      </c>
      <c r="AB74" t="s">
        <v>333</v>
      </c>
      <c r="AD74" t="s">
        <v>515</v>
      </c>
    </row>
    <row r="75" spans="27:30">
      <c r="AA75" t="s">
        <v>508</v>
      </c>
      <c r="AB75" t="s">
        <v>337</v>
      </c>
      <c r="AD75" t="s">
        <v>516</v>
      </c>
    </row>
    <row r="76" spans="27:30">
      <c r="AA76" t="s">
        <v>508</v>
      </c>
      <c r="AB76" t="s">
        <v>340</v>
      </c>
      <c r="AD76" t="s">
        <v>530</v>
      </c>
    </row>
    <row r="77" spans="27:30">
      <c r="AA77" t="s">
        <v>508</v>
      </c>
      <c r="AB77" t="s">
        <v>344</v>
      </c>
      <c r="AD77" t="s">
        <v>345</v>
      </c>
    </row>
    <row r="78" spans="27:30">
      <c r="AA78" t="s">
        <v>508</v>
      </c>
      <c r="AB78" t="s">
        <v>347</v>
      </c>
      <c r="AD78" t="s">
        <v>348</v>
      </c>
    </row>
    <row r="79" spans="27:30">
      <c r="AA79" t="s">
        <v>508</v>
      </c>
      <c r="AB79" t="s">
        <v>350</v>
      </c>
      <c r="AD79" t="s">
        <v>517</v>
      </c>
    </row>
  </sheetData>
  <sortState xmlns:xlrd2="http://schemas.microsoft.com/office/spreadsheetml/2017/richdata2" ref="B2:M52">
    <sortCondition ref="C2:C52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B0213-0F28-403A-B551-FE1D519DD665}">
  <dimension ref="B1:AD80"/>
  <sheetViews>
    <sheetView workbookViewId="0">
      <selection activeCell="K8" sqref="K8"/>
    </sheetView>
  </sheetViews>
  <sheetFormatPr defaultRowHeight="14.25"/>
  <cols>
    <col min="3" max="3" width="3.5" style="12" customWidth="1"/>
    <col min="4" max="4" width="4.625" style="12" bestFit="1" customWidth="1"/>
    <col min="5" max="5" width="3.5" style="12" bestFit="1" customWidth="1"/>
    <col min="6" max="10" width="3.5" style="12" customWidth="1"/>
    <col min="11" max="11" width="45.375" style="12" bestFit="1" customWidth="1"/>
    <col min="12" max="12" width="53" style="12" bestFit="1" customWidth="1"/>
    <col min="13" max="13" width="46.625" style="12" bestFit="1" customWidth="1"/>
    <col min="14" max="16" width="3.5" style="13" customWidth="1"/>
    <col min="22" max="22" width="24.75" customWidth="1"/>
    <col min="30" max="30" width="64.25" bestFit="1" customWidth="1"/>
  </cols>
  <sheetData>
    <row r="1" spans="3:30">
      <c r="C1" s="12" t="s">
        <v>430</v>
      </c>
      <c r="D1" s="12" t="s">
        <v>3</v>
      </c>
      <c r="E1" s="12" t="s">
        <v>25</v>
      </c>
      <c r="F1" s="12" t="s">
        <v>431</v>
      </c>
      <c r="G1" s="12" t="s">
        <v>531</v>
      </c>
      <c r="H1" s="12" t="s">
        <v>424</v>
      </c>
      <c r="I1" s="12" t="s">
        <v>423</v>
      </c>
      <c r="J1" s="12" t="s">
        <v>422</v>
      </c>
      <c r="K1" s="12" t="s">
        <v>431</v>
      </c>
      <c r="L1" s="12" t="s">
        <v>431</v>
      </c>
      <c r="M1" s="12" t="s">
        <v>431</v>
      </c>
      <c r="N1" s="12"/>
      <c r="O1" s="12"/>
      <c r="P1" s="12"/>
      <c r="Q1" s="12"/>
    </row>
    <row r="2" spans="3:30">
      <c r="C2" s="12">
        <v>1</v>
      </c>
      <c r="D2" s="12">
        <v>1</v>
      </c>
      <c r="E2" s="12">
        <v>1</v>
      </c>
      <c r="G2" s="12">
        <v>1</v>
      </c>
      <c r="H2" s="12">
        <v>1</v>
      </c>
      <c r="I2" s="14">
        <v>1</v>
      </c>
      <c r="J2" s="12">
        <v>1</v>
      </c>
      <c r="K2" s="9" t="s">
        <v>290</v>
      </c>
      <c r="L2" s="9" t="s">
        <v>440</v>
      </c>
      <c r="M2" s="9" t="s">
        <v>196</v>
      </c>
      <c r="N2" s="12"/>
      <c r="O2" s="12"/>
      <c r="P2" s="12"/>
      <c r="AA2" t="s">
        <v>432</v>
      </c>
      <c r="AB2" t="s">
        <v>433</v>
      </c>
      <c r="AC2" t="s">
        <v>527</v>
      </c>
      <c r="AD2" t="s">
        <v>434</v>
      </c>
    </row>
    <row r="3" spans="3:30">
      <c r="C3" s="12">
        <v>1</v>
      </c>
      <c r="D3" s="12">
        <v>1</v>
      </c>
      <c r="E3" s="12">
        <v>1</v>
      </c>
      <c r="G3" s="12">
        <v>1</v>
      </c>
      <c r="H3" s="12">
        <v>1</v>
      </c>
      <c r="I3" s="14">
        <v>2</v>
      </c>
      <c r="J3" s="12">
        <v>1</v>
      </c>
      <c r="K3" s="9" t="s">
        <v>290</v>
      </c>
      <c r="L3" s="9" t="s">
        <v>440</v>
      </c>
      <c r="M3" s="9" t="s">
        <v>505</v>
      </c>
      <c r="N3" s="12"/>
      <c r="O3" s="12"/>
      <c r="P3" s="12"/>
    </row>
    <row r="4" spans="3:30">
      <c r="C4" s="12">
        <v>1</v>
      </c>
      <c r="D4" s="12">
        <v>1</v>
      </c>
      <c r="E4" s="12">
        <v>1</v>
      </c>
      <c r="G4" s="12">
        <v>1</v>
      </c>
      <c r="H4" s="12">
        <v>1</v>
      </c>
      <c r="I4" s="14">
        <v>3</v>
      </c>
      <c r="J4" s="12">
        <v>1</v>
      </c>
      <c r="K4" s="9" t="s">
        <v>290</v>
      </c>
      <c r="L4" s="9" t="s">
        <v>440</v>
      </c>
      <c r="M4" s="9" t="s">
        <v>205</v>
      </c>
      <c r="N4" s="12"/>
      <c r="O4" s="12"/>
      <c r="P4" s="12"/>
    </row>
    <row r="5" spans="3:30">
      <c r="C5" s="12">
        <v>3</v>
      </c>
      <c r="D5" s="12">
        <v>1</v>
      </c>
      <c r="E5" s="12">
        <v>3</v>
      </c>
      <c r="G5" s="12">
        <v>1</v>
      </c>
      <c r="H5" s="12">
        <v>2</v>
      </c>
      <c r="I5" s="12">
        <v>6</v>
      </c>
      <c r="J5" s="12">
        <v>4</v>
      </c>
      <c r="K5" s="9" t="s">
        <v>300</v>
      </c>
      <c r="L5" s="9" t="s">
        <v>528</v>
      </c>
      <c r="M5" s="9" t="s">
        <v>218</v>
      </c>
      <c r="N5" s="12"/>
      <c r="O5" s="12"/>
      <c r="P5" s="12"/>
      <c r="AA5" t="s">
        <v>435</v>
      </c>
      <c r="AB5" t="s">
        <v>436</v>
      </c>
      <c r="AD5" t="s">
        <v>437</v>
      </c>
    </row>
    <row r="6" spans="3:30">
      <c r="C6" s="12">
        <v>4</v>
      </c>
      <c r="D6" s="12">
        <v>1</v>
      </c>
      <c r="E6" s="12">
        <v>4</v>
      </c>
      <c r="G6" s="12">
        <v>1</v>
      </c>
      <c r="H6" s="12">
        <v>2</v>
      </c>
      <c r="I6" s="12">
        <v>16</v>
      </c>
      <c r="J6" s="12">
        <v>5</v>
      </c>
      <c r="K6" s="9" t="s">
        <v>529</v>
      </c>
      <c r="L6" s="9" t="s">
        <v>528</v>
      </c>
      <c r="M6" s="9" t="s">
        <v>264</v>
      </c>
      <c r="N6" s="12"/>
      <c r="O6" s="12"/>
      <c r="P6" s="12"/>
      <c r="AA6" t="s">
        <v>438</v>
      </c>
      <c r="AB6" t="s">
        <v>436</v>
      </c>
      <c r="AC6" t="s">
        <v>518</v>
      </c>
      <c r="AD6" t="s">
        <v>440</v>
      </c>
    </row>
    <row r="7" spans="3:30">
      <c r="C7" s="12">
        <v>5</v>
      </c>
      <c r="D7" s="12">
        <v>1</v>
      </c>
      <c r="E7" s="12">
        <v>5</v>
      </c>
      <c r="G7" s="12">
        <v>1</v>
      </c>
      <c r="H7" s="12">
        <v>3</v>
      </c>
      <c r="I7" s="12">
        <v>9</v>
      </c>
      <c r="J7" s="12">
        <v>3</v>
      </c>
      <c r="K7" s="9" t="s">
        <v>297</v>
      </c>
      <c r="L7" s="9" t="s">
        <v>443</v>
      </c>
      <c r="M7" s="9" t="s">
        <v>231</v>
      </c>
      <c r="N7" s="12"/>
      <c r="O7" s="12"/>
      <c r="P7" s="12"/>
      <c r="AA7" t="s">
        <v>438</v>
      </c>
      <c r="AB7" t="s">
        <v>436</v>
      </c>
      <c r="AC7" t="s">
        <v>519</v>
      </c>
      <c r="AD7" t="s">
        <v>528</v>
      </c>
    </row>
    <row r="8" spans="3:30">
      <c r="C8" s="12">
        <v>11</v>
      </c>
      <c r="D8" s="12">
        <v>2</v>
      </c>
      <c r="E8" s="12">
        <v>4</v>
      </c>
      <c r="G8" s="12">
        <v>1</v>
      </c>
      <c r="H8" s="12">
        <v>4</v>
      </c>
      <c r="I8" s="12">
        <v>11</v>
      </c>
      <c r="J8" s="12">
        <v>9</v>
      </c>
      <c r="K8" s="9" t="s">
        <v>316</v>
      </c>
      <c r="L8" s="9" t="s">
        <v>445</v>
      </c>
      <c r="M8" s="9" t="s">
        <v>241</v>
      </c>
      <c r="N8" s="12"/>
      <c r="O8" s="12"/>
      <c r="P8" s="12"/>
      <c r="AA8" t="s">
        <v>438</v>
      </c>
      <c r="AB8" t="s">
        <v>436</v>
      </c>
      <c r="AC8" t="s">
        <v>520</v>
      </c>
      <c r="AD8" t="s">
        <v>443</v>
      </c>
    </row>
    <row r="9" spans="3:30">
      <c r="C9" s="12">
        <v>8</v>
      </c>
      <c r="D9" s="12">
        <v>2</v>
      </c>
      <c r="E9" s="12">
        <v>1</v>
      </c>
      <c r="G9" s="12">
        <v>1</v>
      </c>
      <c r="H9" s="12">
        <v>5</v>
      </c>
      <c r="I9" s="12">
        <v>7</v>
      </c>
      <c r="J9" s="12">
        <v>6</v>
      </c>
      <c r="K9" s="9" t="s">
        <v>510</v>
      </c>
      <c r="L9" s="9" t="s">
        <v>447</v>
      </c>
      <c r="M9" s="9" t="s">
        <v>221</v>
      </c>
      <c r="N9" s="12"/>
      <c r="O9" s="12"/>
      <c r="P9" s="12"/>
      <c r="AA9" t="s">
        <v>438</v>
      </c>
      <c r="AB9" t="s">
        <v>436</v>
      </c>
      <c r="AC9" t="s">
        <v>521</v>
      </c>
      <c r="AD9" t="s">
        <v>445</v>
      </c>
    </row>
    <row r="10" spans="3:30">
      <c r="C10" s="12">
        <v>9</v>
      </c>
      <c r="D10" s="12">
        <v>2</v>
      </c>
      <c r="E10" s="12">
        <v>2</v>
      </c>
      <c r="G10" s="12">
        <v>1</v>
      </c>
      <c r="H10" s="12">
        <v>5</v>
      </c>
      <c r="I10" s="12">
        <v>8</v>
      </c>
      <c r="J10" s="12">
        <v>7</v>
      </c>
      <c r="K10" s="9" t="s">
        <v>511</v>
      </c>
      <c r="L10" s="9" t="s">
        <v>447</v>
      </c>
      <c r="M10" s="9" t="s">
        <v>226</v>
      </c>
      <c r="N10" s="12"/>
      <c r="O10" s="12"/>
      <c r="P10" s="12"/>
      <c r="AA10" t="s">
        <v>438</v>
      </c>
      <c r="AB10" t="s">
        <v>436</v>
      </c>
      <c r="AC10" t="s">
        <v>522</v>
      </c>
      <c r="AD10" t="s">
        <v>447</v>
      </c>
    </row>
    <row r="11" spans="3:30">
      <c r="C11" s="12">
        <v>6</v>
      </c>
      <c r="D11" s="12">
        <v>1</v>
      </c>
      <c r="E11" s="12">
        <v>6</v>
      </c>
      <c r="G11" s="12">
        <v>1</v>
      </c>
      <c r="H11" s="12">
        <v>5</v>
      </c>
      <c r="I11" s="12">
        <v>20</v>
      </c>
      <c r="L11" s="9" t="s">
        <v>447</v>
      </c>
      <c r="M11" s="9" t="s">
        <v>282</v>
      </c>
      <c r="N11" s="12"/>
      <c r="O11" s="12"/>
      <c r="P11" s="12"/>
      <c r="AA11" t="s">
        <v>438</v>
      </c>
      <c r="AB11" t="s">
        <v>436</v>
      </c>
      <c r="AC11" t="s">
        <v>523</v>
      </c>
      <c r="AD11" t="s">
        <v>449</v>
      </c>
    </row>
    <row r="12" spans="3:30">
      <c r="C12" s="12">
        <v>2</v>
      </c>
      <c r="D12" s="12">
        <v>1</v>
      </c>
      <c r="E12" s="12">
        <v>2</v>
      </c>
      <c r="G12" s="12">
        <v>1</v>
      </c>
      <c r="H12" s="12">
        <v>6</v>
      </c>
      <c r="I12" s="12">
        <v>5</v>
      </c>
      <c r="J12" s="12">
        <v>2</v>
      </c>
      <c r="K12" s="9" t="s">
        <v>509</v>
      </c>
      <c r="L12" s="9" t="s">
        <v>449</v>
      </c>
      <c r="M12" s="9" t="s">
        <v>214</v>
      </c>
      <c r="N12" s="12"/>
      <c r="O12" s="12"/>
      <c r="P12" s="12"/>
      <c r="AA12" t="s">
        <v>435</v>
      </c>
      <c r="AB12" t="s">
        <v>450</v>
      </c>
      <c r="AD12" t="s">
        <v>451</v>
      </c>
    </row>
    <row r="13" spans="3:30">
      <c r="K13" s="9"/>
      <c r="L13" s="9"/>
      <c r="M13" s="9"/>
      <c r="N13" s="12"/>
      <c r="O13" s="12"/>
      <c r="P13" s="12"/>
    </row>
    <row r="14" spans="3:30">
      <c r="C14" s="12">
        <v>16</v>
      </c>
      <c r="D14" s="12">
        <v>3</v>
      </c>
      <c r="E14" s="12">
        <v>2</v>
      </c>
      <c r="G14" s="12">
        <v>2</v>
      </c>
      <c r="H14" s="12">
        <v>1</v>
      </c>
      <c r="I14" s="12">
        <v>4</v>
      </c>
      <c r="J14" s="12">
        <v>19</v>
      </c>
      <c r="K14" s="9" t="s">
        <v>348</v>
      </c>
      <c r="L14" s="9" t="s">
        <v>453</v>
      </c>
      <c r="M14" s="9" t="s">
        <v>209</v>
      </c>
      <c r="N14" s="12"/>
      <c r="O14" s="12"/>
      <c r="P14" s="12"/>
      <c r="AA14" t="s">
        <v>438</v>
      </c>
      <c r="AB14" t="s">
        <v>450</v>
      </c>
      <c r="AC14" t="s">
        <v>518</v>
      </c>
      <c r="AD14" t="s">
        <v>453</v>
      </c>
    </row>
    <row r="15" spans="3:30">
      <c r="C15" s="12">
        <v>15</v>
      </c>
      <c r="D15" s="12">
        <v>3</v>
      </c>
      <c r="E15" s="12">
        <v>1</v>
      </c>
      <c r="G15" s="12">
        <v>2</v>
      </c>
      <c r="H15" s="12">
        <v>1</v>
      </c>
      <c r="L15" s="9" t="s">
        <v>453</v>
      </c>
      <c r="N15" s="12"/>
      <c r="O15" s="12"/>
      <c r="P15" s="12"/>
      <c r="AA15" t="s">
        <v>438</v>
      </c>
      <c r="AB15" t="s">
        <v>450</v>
      </c>
      <c r="AC15" t="s">
        <v>519</v>
      </c>
      <c r="AD15" t="s">
        <v>455</v>
      </c>
    </row>
    <row r="16" spans="3:30">
      <c r="C16" s="12">
        <v>12</v>
      </c>
      <c r="D16" s="12">
        <v>2</v>
      </c>
      <c r="E16" s="12">
        <v>5</v>
      </c>
      <c r="G16" s="12">
        <v>2</v>
      </c>
      <c r="H16" s="12">
        <v>2</v>
      </c>
      <c r="L16" s="9" t="s">
        <v>455</v>
      </c>
      <c r="N16" s="12"/>
      <c r="O16" s="12"/>
      <c r="P16" s="12"/>
      <c r="AA16" t="s">
        <v>438</v>
      </c>
      <c r="AB16" t="s">
        <v>450</v>
      </c>
      <c r="AC16" t="s">
        <v>520</v>
      </c>
      <c r="AD16" t="s">
        <v>457</v>
      </c>
    </row>
    <row r="17" spans="2:30">
      <c r="C17" s="12">
        <v>13</v>
      </c>
      <c r="D17" s="12">
        <v>2</v>
      </c>
      <c r="E17" s="12">
        <v>6</v>
      </c>
      <c r="G17" s="12">
        <v>2</v>
      </c>
      <c r="H17" s="12">
        <v>3</v>
      </c>
      <c r="I17" s="12">
        <v>12</v>
      </c>
      <c r="J17" s="12">
        <v>10</v>
      </c>
      <c r="K17" s="9" t="s">
        <v>506</v>
      </c>
      <c r="L17" s="9" t="s">
        <v>457</v>
      </c>
      <c r="M17" s="9" t="s">
        <v>506</v>
      </c>
      <c r="N17" s="12"/>
      <c r="O17" s="12"/>
      <c r="P17" s="12"/>
      <c r="AA17" t="s">
        <v>438</v>
      </c>
      <c r="AB17" t="s">
        <v>450</v>
      </c>
      <c r="AC17" t="s">
        <v>521</v>
      </c>
      <c r="AD17" t="s">
        <v>459</v>
      </c>
    </row>
    <row r="18" spans="2:30">
      <c r="C18" s="12">
        <v>17</v>
      </c>
      <c r="D18" s="12">
        <v>3</v>
      </c>
      <c r="E18" s="12">
        <v>3</v>
      </c>
      <c r="G18" s="12">
        <v>2</v>
      </c>
      <c r="H18" s="12">
        <v>4</v>
      </c>
      <c r="I18" s="12">
        <v>17</v>
      </c>
      <c r="J18" s="12">
        <v>15</v>
      </c>
      <c r="K18" s="9" t="s">
        <v>515</v>
      </c>
      <c r="L18" s="9" t="s">
        <v>459</v>
      </c>
      <c r="M18" s="9" t="s">
        <v>268</v>
      </c>
      <c r="N18" s="12"/>
      <c r="O18" s="12"/>
      <c r="P18" s="12"/>
      <c r="AA18" t="s">
        <v>438</v>
      </c>
      <c r="AB18" t="s">
        <v>450</v>
      </c>
      <c r="AC18" t="s">
        <v>522</v>
      </c>
      <c r="AD18" t="s">
        <v>461</v>
      </c>
    </row>
    <row r="19" spans="2:30">
      <c r="C19" s="12">
        <v>24</v>
      </c>
      <c r="D19" s="12">
        <v>4</v>
      </c>
      <c r="E19" s="12">
        <v>3</v>
      </c>
      <c r="G19" s="12">
        <v>2</v>
      </c>
      <c r="H19" s="12">
        <v>5</v>
      </c>
      <c r="L19" s="9" t="s">
        <v>461</v>
      </c>
      <c r="N19" s="12"/>
      <c r="O19" s="12"/>
      <c r="P19" s="12"/>
      <c r="AA19" t="s">
        <v>438</v>
      </c>
      <c r="AB19" t="s">
        <v>450</v>
      </c>
      <c r="AC19" t="s">
        <v>523</v>
      </c>
      <c r="AD19" t="s">
        <v>463</v>
      </c>
    </row>
    <row r="20" spans="2:30">
      <c r="C20" s="12">
        <v>19</v>
      </c>
      <c r="D20" s="12">
        <v>3</v>
      </c>
      <c r="E20" s="12">
        <v>5</v>
      </c>
      <c r="G20" s="12">
        <v>2</v>
      </c>
      <c r="H20" s="12">
        <v>6</v>
      </c>
      <c r="I20" s="12">
        <v>13</v>
      </c>
      <c r="J20" s="12">
        <v>13</v>
      </c>
      <c r="K20" s="9" t="s">
        <v>327</v>
      </c>
      <c r="L20" s="9" t="s">
        <v>463</v>
      </c>
      <c r="M20" s="9" t="s">
        <v>250</v>
      </c>
      <c r="N20" s="12"/>
      <c r="O20" s="12"/>
      <c r="P20" s="12"/>
      <c r="AA20" t="s">
        <v>438</v>
      </c>
      <c r="AB20" t="s">
        <v>450</v>
      </c>
      <c r="AC20" t="s">
        <v>524</v>
      </c>
      <c r="AD20" t="s">
        <v>465</v>
      </c>
    </row>
    <row r="21" spans="2:30">
      <c r="C21" s="12">
        <v>20</v>
      </c>
      <c r="D21" s="12">
        <v>3</v>
      </c>
      <c r="E21" s="12">
        <v>6</v>
      </c>
      <c r="G21" s="12">
        <v>2</v>
      </c>
      <c r="H21" s="12">
        <v>7</v>
      </c>
      <c r="I21" s="12">
        <v>10</v>
      </c>
      <c r="J21" s="12">
        <v>11</v>
      </c>
      <c r="K21" s="9" t="s">
        <v>513</v>
      </c>
      <c r="L21" s="9" t="s">
        <v>465</v>
      </c>
      <c r="M21" s="9" t="s">
        <v>236</v>
      </c>
      <c r="N21" s="12"/>
      <c r="O21" s="12"/>
      <c r="P21" s="12"/>
      <c r="AA21" t="s">
        <v>438</v>
      </c>
      <c r="AB21" t="s">
        <v>450</v>
      </c>
      <c r="AC21" t="s">
        <v>525</v>
      </c>
      <c r="AD21" t="s">
        <v>467</v>
      </c>
    </row>
    <row r="22" spans="2:30">
      <c r="C22" s="12">
        <v>22</v>
      </c>
      <c r="D22" s="12">
        <v>4</v>
      </c>
      <c r="E22" s="12">
        <v>1</v>
      </c>
      <c r="G22" s="12">
        <v>2</v>
      </c>
      <c r="H22" s="12">
        <v>8</v>
      </c>
      <c r="I22" s="12">
        <v>14</v>
      </c>
      <c r="J22" s="12">
        <v>12</v>
      </c>
      <c r="K22" s="9" t="s">
        <v>514</v>
      </c>
      <c r="L22" s="9" t="s">
        <v>467</v>
      </c>
      <c r="M22" s="9" t="s">
        <v>507</v>
      </c>
      <c r="N22" s="12"/>
      <c r="O22" s="12"/>
      <c r="P22" s="12"/>
      <c r="AA22" t="s">
        <v>438</v>
      </c>
      <c r="AB22" t="s">
        <v>450</v>
      </c>
      <c r="AC22" t="s">
        <v>526</v>
      </c>
      <c r="AD22" t="s">
        <v>469</v>
      </c>
    </row>
    <row r="23" spans="2:30">
      <c r="B23" s="12"/>
      <c r="C23" s="12">
        <v>23</v>
      </c>
      <c r="D23" s="12">
        <v>4</v>
      </c>
      <c r="E23" s="12">
        <v>2</v>
      </c>
      <c r="G23" s="12">
        <v>2</v>
      </c>
      <c r="H23" s="12">
        <v>9</v>
      </c>
      <c r="L23" s="9" t="s">
        <v>469</v>
      </c>
      <c r="N23" s="14"/>
      <c r="O23" s="14"/>
      <c r="P23" s="14"/>
      <c r="AA23" t="s">
        <v>435</v>
      </c>
      <c r="AB23" t="s">
        <v>470</v>
      </c>
      <c r="AD23" t="s">
        <v>471</v>
      </c>
    </row>
    <row r="24" spans="2:30">
      <c r="B24" s="12">
        <v>1</v>
      </c>
      <c r="C24" s="12">
        <v>25</v>
      </c>
      <c r="D24" s="12">
        <v>4</v>
      </c>
      <c r="E24" s="12">
        <v>4</v>
      </c>
      <c r="G24" s="12">
        <v>3</v>
      </c>
      <c r="H24" s="14">
        <v>1</v>
      </c>
      <c r="I24" s="15">
        <v>19</v>
      </c>
      <c r="J24" s="14">
        <v>18</v>
      </c>
      <c r="K24" s="9" t="s">
        <v>345</v>
      </c>
      <c r="L24" s="9" t="s">
        <v>473</v>
      </c>
      <c r="M24" s="9" t="s">
        <v>277</v>
      </c>
      <c r="N24" s="12"/>
      <c r="O24" s="12"/>
      <c r="P24" s="12"/>
      <c r="AA24" t="s">
        <v>438</v>
      </c>
      <c r="AB24" t="s">
        <v>470</v>
      </c>
      <c r="AC24" t="s">
        <v>518</v>
      </c>
      <c r="AD24" t="s">
        <v>473</v>
      </c>
    </row>
    <row r="25" spans="2:30">
      <c r="B25" s="12">
        <v>2</v>
      </c>
      <c r="C25" s="12">
        <v>25</v>
      </c>
      <c r="D25" s="12">
        <v>4</v>
      </c>
      <c r="E25" s="12">
        <v>4</v>
      </c>
      <c r="G25" s="12">
        <v>3</v>
      </c>
      <c r="H25" s="14">
        <v>2</v>
      </c>
      <c r="I25" s="15">
        <v>19</v>
      </c>
      <c r="J25" s="14">
        <v>19</v>
      </c>
      <c r="K25" s="9" t="s">
        <v>348</v>
      </c>
      <c r="L25" s="9" t="s">
        <v>475</v>
      </c>
      <c r="M25" s="9" t="s">
        <v>277</v>
      </c>
      <c r="N25" s="14"/>
      <c r="O25" s="14"/>
      <c r="P25" s="14"/>
      <c r="AA25" t="s">
        <v>438</v>
      </c>
      <c r="AB25" t="s">
        <v>470</v>
      </c>
      <c r="AC25" t="s">
        <v>519</v>
      </c>
      <c r="AD25" t="s">
        <v>475</v>
      </c>
    </row>
    <row r="26" spans="2:30">
      <c r="B26" s="12">
        <v>1</v>
      </c>
      <c r="C26" s="12">
        <v>26</v>
      </c>
      <c r="D26" s="12">
        <v>4</v>
      </c>
      <c r="E26" s="12">
        <v>5</v>
      </c>
      <c r="G26" s="12">
        <v>3</v>
      </c>
      <c r="H26" s="14">
        <v>3</v>
      </c>
      <c r="I26" s="15">
        <v>18</v>
      </c>
      <c r="L26" s="9" t="s">
        <v>477</v>
      </c>
      <c r="M26" s="9" t="s">
        <v>272</v>
      </c>
      <c r="N26" s="12"/>
      <c r="O26" s="12"/>
      <c r="P26" s="12"/>
      <c r="AA26" t="s">
        <v>438</v>
      </c>
      <c r="AB26" t="s">
        <v>470</v>
      </c>
      <c r="AC26" t="s">
        <v>520</v>
      </c>
      <c r="AD26" t="s">
        <v>477</v>
      </c>
    </row>
    <row r="27" spans="2:30">
      <c r="B27" s="12">
        <v>2</v>
      </c>
      <c r="C27" s="12">
        <v>26</v>
      </c>
      <c r="D27" s="12">
        <v>4</v>
      </c>
      <c r="E27" s="12">
        <v>5</v>
      </c>
      <c r="G27" s="12">
        <v>3</v>
      </c>
      <c r="H27" s="14">
        <v>4</v>
      </c>
      <c r="I27" s="15">
        <v>18</v>
      </c>
      <c r="L27" s="9" t="s">
        <v>479</v>
      </c>
      <c r="M27" s="9" t="s">
        <v>272</v>
      </c>
      <c r="N27" s="12"/>
      <c r="O27" s="12"/>
      <c r="P27" s="12"/>
      <c r="AA27" t="s">
        <v>438</v>
      </c>
      <c r="AB27" t="s">
        <v>470</v>
      </c>
      <c r="AC27" t="s">
        <v>521</v>
      </c>
      <c r="AD27" t="s">
        <v>479</v>
      </c>
    </row>
    <row r="28" spans="2:30">
      <c r="B28" s="12">
        <v>1</v>
      </c>
      <c r="C28" s="12">
        <v>27</v>
      </c>
      <c r="D28" s="12">
        <v>4</v>
      </c>
      <c r="E28" s="12">
        <v>6</v>
      </c>
      <c r="G28" s="12">
        <v>3</v>
      </c>
      <c r="H28" s="14">
        <v>5</v>
      </c>
      <c r="L28" s="9" t="s">
        <v>481</v>
      </c>
      <c r="N28" s="12"/>
      <c r="O28" s="12"/>
      <c r="P28" s="12"/>
      <c r="AA28" t="s">
        <v>438</v>
      </c>
      <c r="AB28" t="s">
        <v>470</v>
      </c>
      <c r="AC28" t="s">
        <v>522</v>
      </c>
      <c r="AD28" t="s">
        <v>481</v>
      </c>
    </row>
    <row r="29" spans="2:30">
      <c r="B29" s="12">
        <v>2</v>
      </c>
      <c r="C29" s="12">
        <v>27</v>
      </c>
      <c r="D29" s="12">
        <v>4</v>
      </c>
      <c r="E29" s="12">
        <v>6</v>
      </c>
      <c r="G29" s="12">
        <v>3</v>
      </c>
      <c r="H29" s="14">
        <v>6</v>
      </c>
      <c r="L29" s="9" t="s">
        <v>483</v>
      </c>
      <c r="N29" s="12"/>
      <c r="O29" s="12"/>
      <c r="P29" s="12"/>
      <c r="AA29" t="s">
        <v>438</v>
      </c>
      <c r="AB29" t="s">
        <v>470</v>
      </c>
      <c r="AC29" t="s">
        <v>523</v>
      </c>
      <c r="AD29" t="s">
        <v>483</v>
      </c>
    </row>
    <row r="30" spans="2:30">
      <c r="B30" s="12">
        <v>3</v>
      </c>
      <c r="C30" s="12">
        <v>27</v>
      </c>
      <c r="D30" s="12">
        <v>4</v>
      </c>
      <c r="E30" s="12">
        <v>6</v>
      </c>
      <c r="G30" s="12">
        <v>3</v>
      </c>
      <c r="H30" s="14">
        <v>7</v>
      </c>
      <c r="L30" s="9" t="s">
        <v>485</v>
      </c>
      <c r="N30" s="12"/>
      <c r="O30" s="12"/>
      <c r="P30" s="12"/>
      <c r="AA30" t="s">
        <v>438</v>
      </c>
      <c r="AB30" t="s">
        <v>470</v>
      </c>
      <c r="AC30" t="s">
        <v>524</v>
      </c>
      <c r="AD30" t="s">
        <v>485</v>
      </c>
    </row>
    <row r="31" spans="2:30">
      <c r="B31" s="12">
        <v>1</v>
      </c>
      <c r="C31" s="12">
        <v>29</v>
      </c>
      <c r="D31" s="12">
        <v>5</v>
      </c>
      <c r="E31" s="12">
        <v>1</v>
      </c>
      <c r="G31" s="12">
        <v>4</v>
      </c>
      <c r="H31" s="14">
        <v>1</v>
      </c>
      <c r="J31" s="12">
        <v>17</v>
      </c>
      <c r="K31" s="9" t="s">
        <v>530</v>
      </c>
      <c r="L31" s="9" t="s">
        <v>489</v>
      </c>
      <c r="N31" s="12"/>
      <c r="O31" s="12"/>
      <c r="P31" s="12"/>
      <c r="AA31" t="s">
        <v>435</v>
      </c>
      <c r="AB31" t="s">
        <v>486</v>
      </c>
      <c r="AD31" t="s">
        <v>487</v>
      </c>
    </row>
    <row r="32" spans="2:30">
      <c r="B32" s="12">
        <v>2</v>
      </c>
      <c r="C32" s="12">
        <v>29</v>
      </c>
      <c r="D32" s="12">
        <v>5</v>
      </c>
      <c r="E32" s="12">
        <v>1</v>
      </c>
      <c r="G32" s="12">
        <v>4</v>
      </c>
      <c r="H32" s="14">
        <v>2</v>
      </c>
      <c r="J32" s="12">
        <v>17</v>
      </c>
      <c r="K32" s="9" t="s">
        <v>530</v>
      </c>
      <c r="L32" s="9" t="s">
        <v>491</v>
      </c>
      <c r="N32" s="12"/>
      <c r="O32" s="12"/>
      <c r="P32" s="12"/>
      <c r="AA32" t="s">
        <v>438</v>
      </c>
      <c r="AB32" t="s">
        <v>486</v>
      </c>
      <c r="AC32" t="s">
        <v>518</v>
      </c>
      <c r="AD32" t="s">
        <v>489</v>
      </c>
    </row>
    <row r="33" spans="2:30">
      <c r="B33" s="12">
        <v>1</v>
      </c>
      <c r="C33" s="12">
        <v>30</v>
      </c>
      <c r="D33" s="12">
        <v>5</v>
      </c>
      <c r="E33" s="12">
        <v>2</v>
      </c>
      <c r="G33" s="12">
        <v>4</v>
      </c>
      <c r="H33" s="14">
        <v>3</v>
      </c>
      <c r="L33" s="9" t="s">
        <v>493</v>
      </c>
      <c r="N33" s="12"/>
      <c r="O33" s="12"/>
      <c r="P33" s="12"/>
      <c r="AA33" t="s">
        <v>438</v>
      </c>
      <c r="AB33" t="s">
        <v>486</v>
      </c>
      <c r="AC33" t="s">
        <v>519</v>
      </c>
      <c r="AD33" t="s">
        <v>491</v>
      </c>
    </row>
    <row r="34" spans="2:30">
      <c r="B34" s="12">
        <v>2</v>
      </c>
      <c r="C34" s="12">
        <v>30</v>
      </c>
      <c r="D34" s="12">
        <v>5</v>
      </c>
      <c r="E34" s="12">
        <v>2</v>
      </c>
      <c r="G34" s="12">
        <v>4</v>
      </c>
      <c r="H34" s="14">
        <v>4</v>
      </c>
      <c r="L34" s="9" t="s">
        <v>495</v>
      </c>
      <c r="N34" s="12"/>
      <c r="O34" s="12"/>
      <c r="P34" s="12"/>
      <c r="AA34" t="s">
        <v>438</v>
      </c>
      <c r="AB34" t="s">
        <v>486</v>
      </c>
      <c r="AC34" t="s">
        <v>520</v>
      </c>
      <c r="AD34" t="s">
        <v>493</v>
      </c>
    </row>
    <row r="35" spans="2:30">
      <c r="B35" s="12">
        <v>1</v>
      </c>
      <c r="C35" s="12">
        <v>31</v>
      </c>
      <c r="D35" s="12">
        <v>5</v>
      </c>
      <c r="E35" s="12">
        <v>3</v>
      </c>
      <c r="G35" s="12">
        <v>4</v>
      </c>
      <c r="H35" s="14">
        <v>5</v>
      </c>
      <c r="L35" s="9" t="s">
        <v>497</v>
      </c>
      <c r="N35" s="12"/>
      <c r="O35" s="12"/>
      <c r="P35" s="12"/>
      <c r="AA35" t="s">
        <v>438</v>
      </c>
      <c r="AB35" t="s">
        <v>486</v>
      </c>
      <c r="AC35" t="s">
        <v>521</v>
      </c>
      <c r="AD35" t="s">
        <v>495</v>
      </c>
    </row>
    <row r="36" spans="2:30">
      <c r="B36" s="12">
        <v>2</v>
      </c>
      <c r="C36" s="12">
        <v>31</v>
      </c>
      <c r="D36" s="12">
        <v>5</v>
      </c>
      <c r="E36" s="12">
        <v>3</v>
      </c>
      <c r="G36" s="12">
        <v>4</v>
      </c>
      <c r="H36" s="14">
        <v>6</v>
      </c>
      <c r="L36" s="9" t="s">
        <v>499</v>
      </c>
      <c r="N36" s="12"/>
      <c r="O36" s="12"/>
      <c r="P36" s="12"/>
      <c r="AA36" t="s">
        <v>438</v>
      </c>
      <c r="AB36" t="s">
        <v>486</v>
      </c>
      <c r="AC36" t="s">
        <v>522</v>
      </c>
      <c r="AD36" t="s">
        <v>497</v>
      </c>
    </row>
    <row r="37" spans="2:30">
      <c r="B37" s="12"/>
      <c r="C37" s="12">
        <v>32</v>
      </c>
      <c r="D37" s="12">
        <v>5</v>
      </c>
      <c r="E37" s="12">
        <v>4</v>
      </c>
      <c r="G37" s="12">
        <v>4</v>
      </c>
      <c r="H37" s="12">
        <v>7</v>
      </c>
      <c r="L37" s="9" t="s">
        <v>501</v>
      </c>
      <c r="N37" s="12"/>
      <c r="O37" s="12"/>
      <c r="P37" s="12"/>
      <c r="AA37" t="s">
        <v>438</v>
      </c>
      <c r="AB37" t="s">
        <v>486</v>
      </c>
      <c r="AC37" t="s">
        <v>523</v>
      </c>
      <c r="AD37" t="s">
        <v>499</v>
      </c>
    </row>
    <row r="38" spans="2:30">
      <c r="B38" s="12"/>
      <c r="C38" s="12">
        <v>10</v>
      </c>
      <c r="D38" s="12">
        <v>2</v>
      </c>
      <c r="E38" s="12">
        <v>3</v>
      </c>
      <c r="G38" s="12">
        <v>4</v>
      </c>
      <c r="H38" s="12">
        <v>8</v>
      </c>
      <c r="J38" s="12">
        <v>8</v>
      </c>
      <c r="K38" s="9" t="s">
        <v>512</v>
      </c>
      <c r="L38" s="9" t="s">
        <v>503</v>
      </c>
      <c r="N38" s="12"/>
      <c r="O38" s="12"/>
      <c r="P38" s="12"/>
      <c r="AA38" t="s">
        <v>438</v>
      </c>
      <c r="AB38" t="s">
        <v>486</v>
      </c>
      <c r="AC38" t="s">
        <v>524</v>
      </c>
      <c r="AD38" t="s">
        <v>501</v>
      </c>
    </row>
    <row r="39" spans="2:30">
      <c r="B39" s="12"/>
      <c r="C39" s="12">
        <v>21</v>
      </c>
      <c r="D39" s="12">
        <v>3</v>
      </c>
      <c r="E39" s="12">
        <v>7</v>
      </c>
      <c r="I39" s="12">
        <v>15</v>
      </c>
      <c r="J39" s="12">
        <v>14</v>
      </c>
      <c r="K39" s="9" t="s">
        <v>331</v>
      </c>
      <c r="M39" s="9" t="s">
        <v>259</v>
      </c>
      <c r="N39" s="12"/>
      <c r="O39" s="12"/>
      <c r="P39" s="12"/>
      <c r="AA39" t="s">
        <v>438</v>
      </c>
      <c r="AB39" t="s">
        <v>486</v>
      </c>
      <c r="AC39" t="s">
        <v>525</v>
      </c>
      <c r="AD39" t="s">
        <v>503</v>
      </c>
    </row>
    <row r="40" spans="2:30">
      <c r="C40" s="12">
        <v>40</v>
      </c>
      <c r="D40" s="12">
        <v>6</v>
      </c>
      <c r="E40" s="12">
        <v>5</v>
      </c>
      <c r="I40" s="12">
        <v>21</v>
      </c>
      <c r="J40" s="12">
        <v>20</v>
      </c>
      <c r="K40" s="9" t="s">
        <v>517</v>
      </c>
      <c r="M40" s="9" t="s">
        <v>286</v>
      </c>
      <c r="N40" s="12"/>
      <c r="O40" s="12"/>
      <c r="P40" s="12"/>
      <c r="AA40" t="s">
        <v>504</v>
      </c>
      <c r="AB40" t="s">
        <v>195</v>
      </c>
      <c r="AD40" t="s">
        <v>196</v>
      </c>
    </row>
    <row r="41" spans="2:30">
      <c r="B41" s="12"/>
      <c r="C41" s="12">
        <v>18</v>
      </c>
      <c r="D41" s="12">
        <v>3</v>
      </c>
      <c r="E41" s="12">
        <v>4</v>
      </c>
      <c r="J41" s="12">
        <v>16</v>
      </c>
      <c r="K41" s="9" t="s">
        <v>516</v>
      </c>
      <c r="N41" s="12"/>
      <c r="O41" s="12"/>
      <c r="P41" s="12"/>
      <c r="AA41" t="s">
        <v>504</v>
      </c>
      <c r="AB41" t="s">
        <v>201</v>
      </c>
      <c r="AD41" t="s">
        <v>505</v>
      </c>
    </row>
    <row r="42" spans="2:30">
      <c r="B42" s="12"/>
      <c r="C42" s="12">
        <v>7</v>
      </c>
      <c r="D42" s="12">
        <v>1</v>
      </c>
      <c r="E42" s="12">
        <v>7</v>
      </c>
      <c r="N42" s="12"/>
      <c r="O42" s="12"/>
      <c r="P42" s="12"/>
      <c r="AA42" t="s">
        <v>504</v>
      </c>
      <c r="AB42" t="s">
        <v>204</v>
      </c>
      <c r="AD42" t="s">
        <v>205</v>
      </c>
    </row>
    <row r="43" spans="2:30">
      <c r="B43" s="12"/>
      <c r="C43" s="12">
        <v>14</v>
      </c>
      <c r="D43" s="12">
        <v>2</v>
      </c>
      <c r="E43" s="12">
        <v>7</v>
      </c>
      <c r="N43" s="12"/>
      <c r="O43" s="12"/>
      <c r="P43" s="12"/>
      <c r="AA43" t="s">
        <v>504</v>
      </c>
      <c r="AB43" t="s">
        <v>208</v>
      </c>
      <c r="AD43" t="s">
        <v>209</v>
      </c>
    </row>
    <row r="44" spans="2:30">
      <c r="B44" s="12"/>
      <c r="C44" s="12">
        <v>28</v>
      </c>
      <c r="D44" s="12">
        <v>4</v>
      </c>
      <c r="E44" s="12">
        <v>7</v>
      </c>
      <c r="N44" s="12"/>
      <c r="O44" s="12"/>
      <c r="P44" s="12"/>
      <c r="AA44" t="s">
        <v>504</v>
      </c>
      <c r="AB44" t="s">
        <v>213</v>
      </c>
      <c r="AD44" t="s">
        <v>214</v>
      </c>
    </row>
    <row r="45" spans="2:30">
      <c r="B45" s="12"/>
      <c r="C45" s="12">
        <v>33</v>
      </c>
      <c r="D45" s="12">
        <v>5</v>
      </c>
      <c r="E45" s="12">
        <v>5</v>
      </c>
      <c r="N45" s="12"/>
      <c r="O45" s="12"/>
      <c r="P45" s="12"/>
      <c r="AA45" t="s">
        <v>504</v>
      </c>
      <c r="AB45" t="s">
        <v>217</v>
      </c>
      <c r="AD45" t="s">
        <v>218</v>
      </c>
    </row>
    <row r="46" spans="2:30">
      <c r="C46" s="12">
        <v>34</v>
      </c>
      <c r="D46" s="12">
        <v>5</v>
      </c>
      <c r="E46" s="12">
        <v>6</v>
      </c>
      <c r="N46" s="12"/>
      <c r="O46" s="12"/>
      <c r="P46" s="12"/>
      <c r="AA46" t="s">
        <v>504</v>
      </c>
      <c r="AB46" t="s">
        <v>220</v>
      </c>
      <c r="AD46" t="s">
        <v>221</v>
      </c>
    </row>
    <row r="47" spans="2:30">
      <c r="C47" s="12">
        <v>35</v>
      </c>
      <c r="D47" s="12">
        <v>5</v>
      </c>
      <c r="E47" s="12">
        <v>7</v>
      </c>
      <c r="N47" s="12"/>
      <c r="O47" s="12"/>
      <c r="P47" s="12"/>
      <c r="AA47" t="s">
        <v>504</v>
      </c>
      <c r="AB47" t="s">
        <v>225</v>
      </c>
      <c r="AD47" t="s">
        <v>226</v>
      </c>
    </row>
    <row r="48" spans="2:30">
      <c r="C48" s="12">
        <v>36</v>
      </c>
      <c r="D48" s="12">
        <v>6</v>
      </c>
      <c r="E48" s="12">
        <v>1</v>
      </c>
      <c r="N48" s="12"/>
      <c r="O48" s="12"/>
      <c r="P48" s="12"/>
      <c r="AA48" t="s">
        <v>504</v>
      </c>
      <c r="AB48" t="s">
        <v>230</v>
      </c>
      <c r="AD48" t="s">
        <v>231</v>
      </c>
    </row>
    <row r="49" spans="3:30">
      <c r="C49" s="12">
        <v>37</v>
      </c>
      <c r="D49" s="12">
        <v>6</v>
      </c>
      <c r="E49" s="12">
        <v>2</v>
      </c>
      <c r="N49" s="12"/>
      <c r="O49" s="12"/>
      <c r="P49" s="12"/>
      <c r="AA49" t="s">
        <v>504</v>
      </c>
      <c r="AB49" t="s">
        <v>235</v>
      </c>
      <c r="AD49" t="s">
        <v>236</v>
      </c>
    </row>
    <row r="50" spans="3:30">
      <c r="C50" s="12">
        <v>38</v>
      </c>
      <c r="D50" s="12">
        <v>6</v>
      </c>
      <c r="E50" s="12">
        <v>3</v>
      </c>
      <c r="N50" s="12"/>
      <c r="O50" s="12"/>
      <c r="P50" s="12"/>
      <c r="AA50" t="s">
        <v>504</v>
      </c>
      <c r="AB50" t="s">
        <v>240</v>
      </c>
      <c r="AD50" t="s">
        <v>241</v>
      </c>
    </row>
    <row r="51" spans="3:30">
      <c r="C51" s="12">
        <v>39</v>
      </c>
      <c r="D51" s="12">
        <v>6</v>
      </c>
      <c r="E51" s="12">
        <v>4</v>
      </c>
      <c r="N51" s="12"/>
      <c r="O51" s="12"/>
      <c r="P51" s="12"/>
      <c r="AA51" t="s">
        <v>504</v>
      </c>
      <c r="AB51" t="s">
        <v>245</v>
      </c>
      <c r="AD51" t="s">
        <v>506</v>
      </c>
    </row>
    <row r="52" spans="3:30">
      <c r="C52" s="12">
        <v>41</v>
      </c>
      <c r="D52" s="12">
        <v>6</v>
      </c>
      <c r="E52" s="12">
        <v>6</v>
      </c>
      <c r="N52" s="12"/>
      <c r="O52" s="12"/>
      <c r="P52" s="12"/>
      <c r="AA52" t="s">
        <v>504</v>
      </c>
      <c r="AB52" t="s">
        <v>249</v>
      </c>
      <c r="AD52" t="s">
        <v>250</v>
      </c>
    </row>
    <row r="53" spans="3:30">
      <c r="C53" s="12">
        <v>42</v>
      </c>
      <c r="D53" s="12">
        <v>6</v>
      </c>
      <c r="E53" s="12">
        <v>7</v>
      </c>
      <c r="N53" s="12"/>
      <c r="O53" s="12"/>
      <c r="P53" s="12"/>
      <c r="AA53" t="s">
        <v>504</v>
      </c>
      <c r="AB53" t="s">
        <v>254</v>
      </c>
      <c r="AD53" t="s">
        <v>507</v>
      </c>
    </row>
    <row r="54" spans="3:30">
      <c r="AA54" t="s">
        <v>504</v>
      </c>
      <c r="AB54" t="s">
        <v>258</v>
      </c>
      <c r="AD54" t="s">
        <v>259</v>
      </c>
    </row>
    <row r="55" spans="3:30">
      <c r="AA55" t="s">
        <v>504</v>
      </c>
      <c r="AB55" t="s">
        <v>263</v>
      </c>
      <c r="AD55" t="s">
        <v>264</v>
      </c>
    </row>
    <row r="56" spans="3:30">
      <c r="AA56" t="s">
        <v>504</v>
      </c>
      <c r="AB56" t="s">
        <v>267</v>
      </c>
      <c r="AD56" t="s">
        <v>268</v>
      </c>
    </row>
    <row r="57" spans="3:30">
      <c r="AA57" t="s">
        <v>504</v>
      </c>
      <c r="AB57" t="s">
        <v>271</v>
      </c>
      <c r="AD57" t="s">
        <v>272</v>
      </c>
    </row>
    <row r="58" spans="3:30">
      <c r="AA58" t="s">
        <v>504</v>
      </c>
      <c r="AB58" t="s">
        <v>276</v>
      </c>
      <c r="AD58" t="s">
        <v>277</v>
      </c>
    </row>
    <row r="59" spans="3:30">
      <c r="AA59" t="s">
        <v>504</v>
      </c>
      <c r="AB59" t="s">
        <v>281</v>
      </c>
      <c r="AD59" t="s">
        <v>282</v>
      </c>
    </row>
    <row r="60" spans="3:30">
      <c r="AA60" t="s">
        <v>504</v>
      </c>
      <c r="AB60" t="s">
        <v>285</v>
      </c>
      <c r="AD60" t="s">
        <v>286</v>
      </c>
    </row>
    <row r="61" spans="3:30">
      <c r="AA61" t="s">
        <v>508</v>
      </c>
      <c r="AB61" t="s">
        <v>289</v>
      </c>
      <c r="AD61" t="s">
        <v>290</v>
      </c>
    </row>
    <row r="62" spans="3:30">
      <c r="AA62" t="s">
        <v>508</v>
      </c>
      <c r="AB62" t="s">
        <v>293</v>
      </c>
      <c r="AD62" t="s">
        <v>509</v>
      </c>
    </row>
    <row r="63" spans="3:30">
      <c r="AA63" t="s">
        <v>508</v>
      </c>
      <c r="AB63" t="s">
        <v>296</v>
      </c>
      <c r="AD63" t="s">
        <v>297</v>
      </c>
    </row>
    <row r="64" spans="3:30">
      <c r="AA64" t="s">
        <v>508</v>
      </c>
      <c r="AB64" t="s">
        <v>299</v>
      </c>
      <c r="AD64" t="s">
        <v>300</v>
      </c>
    </row>
    <row r="65" spans="27:30">
      <c r="AA65" t="s">
        <v>508</v>
      </c>
      <c r="AB65" t="s">
        <v>302</v>
      </c>
      <c r="AD65" t="s">
        <v>529</v>
      </c>
    </row>
    <row r="66" spans="27:30">
      <c r="AA66" t="s">
        <v>508</v>
      </c>
      <c r="AB66" t="s">
        <v>305</v>
      </c>
      <c r="AD66" t="s">
        <v>510</v>
      </c>
    </row>
    <row r="67" spans="27:30">
      <c r="AA67" t="s">
        <v>508</v>
      </c>
      <c r="AB67" t="s">
        <v>308</v>
      </c>
      <c r="AD67" t="s">
        <v>511</v>
      </c>
    </row>
    <row r="68" spans="27:30">
      <c r="AA68" t="s">
        <v>508</v>
      </c>
      <c r="AB68" t="s">
        <v>311</v>
      </c>
      <c r="AD68" t="s">
        <v>512</v>
      </c>
    </row>
    <row r="69" spans="27:30">
      <c r="AA69" t="s">
        <v>508</v>
      </c>
      <c r="AB69" t="s">
        <v>315</v>
      </c>
      <c r="AD69" t="s">
        <v>316</v>
      </c>
    </row>
    <row r="70" spans="27:30">
      <c r="AA70" t="s">
        <v>508</v>
      </c>
      <c r="AB70" t="s">
        <v>317</v>
      </c>
      <c r="AD70" t="s">
        <v>506</v>
      </c>
    </row>
    <row r="71" spans="27:30">
      <c r="AA71" t="s">
        <v>508</v>
      </c>
      <c r="AB71" t="s">
        <v>320</v>
      </c>
      <c r="AD71" t="s">
        <v>513</v>
      </c>
    </row>
    <row r="72" spans="27:30">
      <c r="AA72" t="s">
        <v>508</v>
      </c>
      <c r="AB72" t="s">
        <v>323</v>
      </c>
      <c r="AD72" t="s">
        <v>514</v>
      </c>
    </row>
    <row r="73" spans="27:30">
      <c r="AA73" t="s">
        <v>508</v>
      </c>
      <c r="AB73" t="s">
        <v>326</v>
      </c>
      <c r="AD73" t="s">
        <v>327</v>
      </c>
    </row>
    <row r="74" spans="27:30">
      <c r="AA74" t="s">
        <v>508</v>
      </c>
      <c r="AB74" t="s">
        <v>330</v>
      </c>
      <c r="AD74" t="s">
        <v>331</v>
      </c>
    </row>
    <row r="75" spans="27:30">
      <c r="AA75" t="s">
        <v>508</v>
      </c>
      <c r="AB75" t="s">
        <v>333</v>
      </c>
      <c r="AD75" t="s">
        <v>515</v>
      </c>
    </row>
    <row r="76" spans="27:30">
      <c r="AA76" t="s">
        <v>508</v>
      </c>
      <c r="AB76" t="s">
        <v>337</v>
      </c>
      <c r="AD76" t="s">
        <v>516</v>
      </c>
    </row>
    <row r="77" spans="27:30">
      <c r="AA77" t="s">
        <v>508</v>
      </c>
      <c r="AB77" t="s">
        <v>340</v>
      </c>
      <c r="AD77" t="s">
        <v>530</v>
      </c>
    </row>
    <row r="78" spans="27:30">
      <c r="AA78" t="s">
        <v>508</v>
      </c>
      <c r="AB78" t="s">
        <v>344</v>
      </c>
      <c r="AD78" t="s">
        <v>345</v>
      </c>
    </row>
    <row r="79" spans="27:30">
      <c r="AA79" t="s">
        <v>508</v>
      </c>
      <c r="AB79" t="s">
        <v>347</v>
      </c>
      <c r="AD79" t="s">
        <v>348</v>
      </c>
    </row>
    <row r="80" spans="27:30">
      <c r="AA80" t="s">
        <v>508</v>
      </c>
      <c r="AB80" t="s">
        <v>350</v>
      </c>
      <c r="AD80" t="s">
        <v>517</v>
      </c>
    </row>
  </sheetData>
  <sortState xmlns:xlrd2="http://schemas.microsoft.com/office/spreadsheetml/2017/richdata2" ref="B2:M53">
    <sortCondition ref="G2:G53"/>
    <sortCondition ref="H2:H53"/>
    <sortCondition ref="I2:I53"/>
    <sortCondition ref="J2:J53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5"/>
  <sheetViews>
    <sheetView workbookViewId="0"/>
  </sheetViews>
  <sheetFormatPr defaultRowHeight="14.25"/>
  <cols>
    <col min="1" max="1" width="28" customWidth="1"/>
    <col min="2" max="2" width="24" customWidth="1"/>
    <col min="4" max="10" width="16" customWidth="1"/>
  </cols>
  <sheetData>
    <row r="1" spans="1:10" ht="32.1" customHeight="1">
      <c r="A1" s="30" t="s">
        <v>0</v>
      </c>
      <c r="B1" s="30"/>
      <c r="C1" s="30"/>
      <c r="D1" s="30"/>
      <c r="E1" s="30"/>
      <c r="F1" s="30"/>
      <c r="G1" s="30"/>
      <c r="H1" s="30"/>
    </row>
    <row r="3" spans="1:10" ht="15">
      <c r="A3" s="1" t="s">
        <v>1</v>
      </c>
      <c r="B3" s="1" t="s">
        <v>2</v>
      </c>
      <c r="D3" s="1" t="s">
        <v>3</v>
      </c>
      <c r="E3" s="1" t="s">
        <v>4</v>
      </c>
      <c r="F3" s="1" t="s">
        <v>5</v>
      </c>
      <c r="G3" s="1" t="s">
        <v>6</v>
      </c>
      <c r="H3" s="1" t="s">
        <v>7</v>
      </c>
      <c r="I3" s="1" t="s">
        <v>8</v>
      </c>
      <c r="J3" s="1" t="s">
        <v>9</v>
      </c>
    </row>
    <row r="4" spans="1:10">
      <c r="A4" s="3" t="s">
        <v>10</v>
      </c>
      <c r="B4" s="6">
        <f>'Weekly Summary'!H8</f>
        <v>91.166666666666657</v>
      </c>
      <c r="D4" s="3">
        <v>1</v>
      </c>
      <c r="E4" s="6">
        <f>'Weekly Summary'!C2/60</f>
        <v>5.85</v>
      </c>
      <c r="F4" s="6">
        <f>'Weekly Summary'!D2/60</f>
        <v>3.2166666666666668</v>
      </c>
      <c r="G4" s="6">
        <f>'Weekly Summary'!E2/60</f>
        <v>3.1666666666666665</v>
      </c>
      <c r="H4" s="6">
        <f>'Weekly Summary'!F2/60</f>
        <v>2.7666666666666666</v>
      </c>
      <c r="I4" s="6">
        <f>'Weekly Summary'!H2</f>
        <v>15</v>
      </c>
      <c r="J4" s="3" t="str">
        <f>'Weekly Summary'!I2</f>
        <v>15h 00m</v>
      </c>
    </row>
    <row r="5" spans="1:10">
      <c r="A5" s="3" t="s">
        <v>11</v>
      </c>
      <c r="B5" s="6">
        <f>'Weekly Summary'!H8/6</f>
        <v>15.194444444444443</v>
      </c>
      <c r="D5" s="3">
        <v>2</v>
      </c>
      <c r="E5" s="6">
        <f>'Weekly Summary'!C3/60</f>
        <v>6.55</v>
      </c>
      <c r="F5" s="6">
        <f>'Weekly Summary'!D3/60</f>
        <v>2.3166666666666669</v>
      </c>
      <c r="G5" s="6">
        <f>'Weekly Summary'!E3/60</f>
        <v>3.2333333333333334</v>
      </c>
      <c r="H5" s="6">
        <f>'Weekly Summary'!F3/60</f>
        <v>2.9</v>
      </c>
      <c r="I5" s="6">
        <f>'Weekly Summary'!H3</f>
        <v>15</v>
      </c>
      <c r="J5" s="3" t="str">
        <f>'Weekly Summary'!I3</f>
        <v>15h 00m</v>
      </c>
    </row>
    <row r="6" spans="1:10">
      <c r="A6" s="3" t="s">
        <v>12</v>
      </c>
      <c r="B6" s="6">
        <f>'Weekly Summary'!H8/42</f>
        <v>2.1706349206349205</v>
      </c>
      <c r="D6" s="3">
        <v>3</v>
      </c>
      <c r="E6" s="6">
        <f>'Weekly Summary'!C4/60</f>
        <v>6.833333333333333</v>
      </c>
      <c r="F6" s="6">
        <f>'Weekly Summary'!D4/60</f>
        <v>2.3166666666666669</v>
      </c>
      <c r="G6" s="6">
        <f>'Weekly Summary'!E4/60</f>
        <v>3.4</v>
      </c>
      <c r="H6" s="6">
        <f>'Weekly Summary'!F4/60</f>
        <v>2.7</v>
      </c>
      <c r="I6" s="6">
        <f>'Weekly Summary'!H4</f>
        <v>15.25</v>
      </c>
      <c r="J6" s="3" t="str">
        <f>'Weekly Summary'!I4</f>
        <v>15h 15m</v>
      </c>
    </row>
    <row r="7" spans="1:10">
      <c r="A7" s="3" t="s">
        <v>13</v>
      </c>
      <c r="B7" s="6">
        <f>MAX('Weekly Summary'!H2:H7)</f>
        <v>15.5</v>
      </c>
      <c r="D7" s="3">
        <v>4</v>
      </c>
      <c r="E7" s="6">
        <f>'Weekly Summary'!C5/60</f>
        <v>9.4833333333333325</v>
      </c>
      <c r="F7" s="6">
        <f>'Weekly Summary'!D5/60</f>
        <v>1.5833333333333333</v>
      </c>
      <c r="G7" s="6">
        <f>'Weekly Summary'!E5/60</f>
        <v>1.3666666666666667</v>
      </c>
      <c r="H7" s="6">
        <f>'Weekly Summary'!F5/60</f>
        <v>3.0666666666666669</v>
      </c>
      <c r="I7" s="6">
        <f>'Weekly Summary'!H5</f>
        <v>15.5</v>
      </c>
      <c r="J7" s="3" t="str">
        <f>'Weekly Summary'!I5</f>
        <v>15h 30m</v>
      </c>
    </row>
    <row r="8" spans="1:10">
      <c r="A8" s="3" t="s">
        <v>14</v>
      </c>
      <c r="B8" s="6">
        <f>MIN('Weekly Summary'!H2:H7)</f>
        <v>15</v>
      </c>
      <c r="D8" s="3">
        <v>5</v>
      </c>
      <c r="E8" s="6">
        <f>'Weekly Summary'!C6/60</f>
        <v>6.4666666666666668</v>
      </c>
      <c r="F8" s="6">
        <f>'Weekly Summary'!D6/60</f>
        <v>0.5</v>
      </c>
      <c r="G8" s="6">
        <f>'Weekly Summary'!E6/60</f>
        <v>1.75</v>
      </c>
      <c r="H8" s="6">
        <f>'Weekly Summary'!F6/60</f>
        <v>6.6166666666666663</v>
      </c>
      <c r="I8" s="6">
        <f>'Weekly Summary'!H6</f>
        <v>15.333333333333334</v>
      </c>
      <c r="J8" s="3" t="str">
        <f>'Weekly Summary'!I6</f>
        <v>15h 20m</v>
      </c>
    </row>
    <row r="9" spans="1:10">
      <c r="A9" s="3"/>
      <c r="B9" s="3"/>
      <c r="D9" s="3">
        <v>6</v>
      </c>
      <c r="E9" s="6">
        <f>'Weekly Summary'!C7/60</f>
        <v>3.6666666666666665</v>
      </c>
      <c r="F9" s="6">
        <f>'Weekly Summary'!D7/60</f>
        <v>2.5166666666666666</v>
      </c>
      <c r="G9" s="6">
        <f>'Weekly Summary'!E7/60</f>
        <v>2.7833333333333332</v>
      </c>
      <c r="H9" s="6">
        <f>'Weekly Summary'!F7/60</f>
        <v>6.1166666666666663</v>
      </c>
      <c r="I9" s="6">
        <f>'Weekly Summary'!H7</f>
        <v>15.083333333333334</v>
      </c>
      <c r="J9" s="3" t="str">
        <f>'Weekly Summary'!I7</f>
        <v>15h 05m</v>
      </c>
    </row>
    <row r="10" spans="1:10" ht="15">
      <c r="A10" s="1" t="s">
        <v>15</v>
      </c>
      <c r="B10" s="1" t="s">
        <v>16</v>
      </c>
      <c r="D10" s="1" t="s">
        <v>17</v>
      </c>
      <c r="E10" s="7" t="s">
        <v>4</v>
      </c>
      <c r="F10" s="7" t="s">
        <v>5</v>
      </c>
      <c r="G10" s="7" t="s">
        <v>6</v>
      </c>
      <c r="H10" s="7" t="s">
        <v>7</v>
      </c>
      <c r="I10" s="7" t="s">
        <v>18</v>
      </c>
      <c r="J10" s="1" t="s">
        <v>9</v>
      </c>
    </row>
    <row r="11" spans="1:10">
      <c r="A11" s="3" t="s">
        <v>5</v>
      </c>
      <c r="B11" s="3" t="str">
        <f>COUNTIF('Udemy Concept Coverage'!G2:G22,"Covered")&amp;" / 21 covered"</f>
        <v>21 / 21 covered</v>
      </c>
      <c r="D11" s="3" t="s">
        <v>8</v>
      </c>
      <c r="E11" s="6">
        <f>SUM('Weekly Summary'!C2:C7)/60</f>
        <v>38.85</v>
      </c>
      <c r="F11" s="6">
        <f>SUM('Weekly Summary'!D2:D7)/60</f>
        <v>12.45</v>
      </c>
      <c r="G11" s="6">
        <f>SUM('Weekly Summary'!E2:E7)/60</f>
        <v>15.7</v>
      </c>
      <c r="H11" s="6">
        <f>SUM('Weekly Summary'!F2:F7)/60</f>
        <v>24.166666666666668</v>
      </c>
      <c r="I11" s="6">
        <f>SUM('Weekly Summary'!H2:H7)</f>
        <v>91.166666666666657</v>
      </c>
      <c r="J11" s="3" t="str">
        <f>INT(SUM('Weekly Summary'!G2:G7)/60)&amp;"h "&amp;TEXT(MOD(SUM('Weekly Summary'!G2:G7),60),"00")&amp;"m"</f>
        <v>91h 10m</v>
      </c>
    </row>
    <row r="12" spans="1:10">
      <c r="A12" s="3" t="s">
        <v>6</v>
      </c>
      <c r="B12" s="3" t="str">
        <f>COUNTIF('Udemy Lab Coverage'!G2:G21,"Covered")&amp;" / 20 covered"</f>
        <v>20 / 20 covered</v>
      </c>
    </row>
    <row r="13" spans="1:10">
      <c r="A13" s="3" t="s">
        <v>19</v>
      </c>
      <c r="B13" s="3" t="s">
        <v>20</v>
      </c>
    </row>
    <row r="14" spans="1:10" ht="28.5">
      <c r="A14" s="3" t="s">
        <v>21</v>
      </c>
      <c r="B14" s="3" t="s">
        <v>22</v>
      </c>
    </row>
    <row r="15" spans="1:10" ht="28.5">
      <c r="A15" s="3" t="s">
        <v>23</v>
      </c>
      <c r="B15" s="3" t="s">
        <v>24</v>
      </c>
    </row>
  </sheetData>
  <mergeCells count="1">
    <mergeCell ref="A1:H1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3"/>
  <sheetViews>
    <sheetView workbookViewId="0">
      <selection activeCell="D11" sqref="D11"/>
    </sheetView>
  </sheetViews>
  <sheetFormatPr defaultRowHeight="14.25"/>
  <cols>
    <col min="1" max="2" width="8" customWidth="1"/>
    <col min="3" max="3" width="26" customWidth="1"/>
    <col min="4" max="6" width="34" customWidth="1"/>
    <col min="7" max="13" width="14" customWidth="1"/>
    <col min="14" max="15" width="16" customWidth="1"/>
  </cols>
  <sheetData>
    <row r="1" spans="1:15" ht="15" customHeight="1">
      <c r="A1" s="2" t="s">
        <v>3</v>
      </c>
      <c r="B1" s="2" t="s">
        <v>25</v>
      </c>
      <c r="C1" s="2" t="s">
        <v>26</v>
      </c>
      <c r="D1" s="2" t="s">
        <v>27</v>
      </c>
      <c r="E1" s="2" t="s">
        <v>5</v>
      </c>
      <c r="F1" s="2" t="s">
        <v>6</v>
      </c>
      <c r="G1" s="5" t="s">
        <v>28</v>
      </c>
      <c r="H1" s="5" t="s">
        <v>29</v>
      </c>
      <c r="I1" s="5" t="s">
        <v>30</v>
      </c>
      <c r="J1" s="5" t="s">
        <v>31</v>
      </c>
      <c r="K1" s="5" t="s">
        <v>32</v>
      </c>
      <c r="L1" s="4" t="s">
        <v>8</v>
      </c>
      <c r="M1" s="2" t="s">
        <v>9</v>
      </c>
      <c r="N1" s="2" t="s">
        <v>33</v>
      </c>
      <c r="O1" s="2" t="s">
        <v>16</v>
      </c>
    </row>
    <row r="2" spans="1:15" ht="28.5">
      <c r="A2" s="3">
        <v>1</v>
      </c>
      <c r="B2" s="3">
        <v>1</v>
      </c>
      <c r="C2" s="3" t="s">
        <v>34</v>
      </c>
      <c r="D2" s="3" t="s">
        <v>35</v>
      </c>
      <c r="E2" s="3" t="s">
        <v>36</v>
      </c>
      <c r="F2" s="3" t="s">
        <v>37</v>
      </c>
      <c r="G2" s="3">
        <v>60</v>
      </c>
      <c r="H2" s="3">
        <v>78</v>
      </c>
      <c r="I2" s="3">
        <v>24</v>
      </c>
      <c r="J2" s="3">
        <v>8</v>
      </c>
      <c r="K2" s="3">
        <f t="shared" ref="K2:K43" si="0">SUM(G2:J2)</f>
        <v>170</v>
      </c>
      <c r="L2" s="3">
        <f t="shared" ref="L2:L43" si="1">K2/60</f>
        <v>2.8333333333333335</v>
      </c>
      <c r="M2" s="3" t="str">
        <f t="shared" ref="M2:M43" si="2">INT(K2/60)&amp;"h "&amp;TEXT(MOD(K2,60),"00")&amp;"m"</f>
        <v>2h 50m</v>
      </c>
      <c r="N2" s="3" t="s">
        <v>38</v>
      </c>
      <c r="O2" s="3" t="s">
        <v>39</v>
      </c>
    </row>
    <row r="3" spans="1:15">
      <c r="A3" s="3">
        <v>1</v>
      </c>
      <c r="B3" s="3">
        <v>2</v>
      </c>
      <c r="C3" s="3" t="s">
        <v>40</v>
      </c>
      <c r="D3" s="3" t="s">
        <v>41</v>
      </c>
      <c r="E3" s="3" t="s">
        <v>42</v>
      </c>
      <c r="F3" s="3" t="s">
        <v>43</v>
      </c>
      <c r="G3" s="3">
        <v>45</v>
      </c>
      <c r="H3" s="3">
        <v>21</v>
      </c>
      <c r="I3" s="3">
        <v>36</v>
      </c>
      <c r="J3" s="3">
        <v>18</v>
      </c>
      <c r="K3" s="3">
        <f t="shared" si="0"/>
        <v>120</v>
      </c>
      <c r="L3" s="3">
        <f t="shared" si="1"/>
        <v>2</v>
      </c>
      <c r="M3" s="3" t="str">
        <f t="shared" si="2"/>
        <v>2h 00m</v>
      </c>
      <c r="N3" s="3" t="s">
        <v>38</v>
      </c>
      <c r="O3" s="3" t="s">
        <v>39</v>
      </c>
    </row>
    <row r="4" spans="1:15" ht="28.5">
      <c r="A4" s="3">
        <v>1</v>
      </c>
      <c r="B4" s="3">
        <v>3</v>
      </c>
      <c r="C4" s="3" t="s">
        <v>44</v>
      </c>
      <c r="D4" s="3" t="s">
        <v>45</v>
      </c>
      <c r="E4" s="3" t="s">
        <v>46</v>
      </c>
      <c r="F4" s="3" t="s">
        <v>47</v>
      </c>
      <c r="G4" s="3">
        <v>63</v>
      </c>
      <c r="H4" s="3">
        <v>21</v>
      </c>
      <c r="I4" s="3">
        <v>39</v>
      </c>
      <c r="J4" s="3">
        <v>17</v>
      </c>
      <c r="K4" s="3">
        <f t="shared" si="0"/>
        <v>140</v>
      </c>
      <c r="L4" s="3">
        <f t="shared" si="1"/>
        <v>2.3333333333333335</v>
      </c>
      <c r="M4" s="3" t="str">
        <f t="shared" si="2"/>
        <v>2h 20m</v>
      </c>
      <c r="N4" s="3" t="s">
        <v>38</v>
      </c>
      <c r="O4" s="3" t="s">
        <v>39</v>
      </c>
    </row>
    <row r="5" spans="1:15" ht="28.5">
      <c r="A5" s="3">
        <v>1</v>
      </c>
      <c r="B5" s="3">
        <v>4</v>
      </c>
      <c r="C5" s="3" t="s">
        <v>48</v>
      </c>
      <c r="D5" s="3" t="s">
        <v>49</v>
      </c>
      <c r="E5" s="3" t="s">
        <v>50</v>
      </c>
      <c r="F5" s="3" t="s">
        <v>51</v>
      </c>
      <c r="G5" s="3">
        <v>45</v>
      </c>
      <c r="H5" s="3">
        <v>25</v>
      </c>
      <c r="I5" s="3">
        <v>37</v>
      </c>
      <c r="J5" s="3">
        <v>13</v>
      </c>
      <c r="K5" s="3">
        <f t="shared" si="0"/>
        <v>120</v>
      </c>
      <c r="L5" s="3">
        <f t="shared" si="1"/>
        <v>2</v>
      </c>
      <c r="M5" s="3" t="str">
        <f t="shared" si="2"/>
        <v>2h 00m</v>
      </c>
      <c r="N5" s="3" t="s">
        <v>52</v>
      </c>
      <c r="O5" s="3" t="s">
        <v>39</v>
      </c>
    </row>
    <row r="6" spans="1:15">
      <c r="A6" s="3">
        <v>1</v>
      </c>
      <c r="B6" s="3">
        <v>5</v>
      </c>
      <c r="C6" s="3" t="s">
        <v>53</v>
      </c>
      <c r="D6" s="3" t="s">
        <v>54</v>
      </c>
      <c r="E6" s="3" t="s">
        <v>55</v>
      </c>
      <c r="F6" s="3" t="s">
        <v>56</v>
      </c>
      <c r="G6" s="3">
        <v>53</v>
      </c>
      <c r="H6" s="3">
        <v>19</v>
      </c>
      <c r="I6" s="3">
        <v>39</v>
      </c>
      <c r="J6" s="3">
        <v>19</v>
      </c>
      <c r="K6" s="3">
        <f t="shared" si="0"/>
        <v>130</v>
      </c>
      <c r="L6" s="3">
        <f t="shared" si="1"/>
        <v>2.1666666666666665</v>
      </c>
      <c r="M6" s="3" t="str">
        <f t="shared" si="2"/>
        <v>2h 10m</v>
      </c>
      <c r="N6" s="3" t="s">
        <v>38</v>
      </c>
      <c r="O6" s="3" t="s">
        <v>39</v>
      </c>
    </row>
    <row r="7" spans="1:15" ht="28.5">
      <c r="A7" s="3">
        <v>1</v>
      </c>
      <c r="B7" s="3">
        <v>6</v>
      </c>
      <c r="C7" s="3" t="s">
        <v>57</v>
      </c>
      <c r="D7" s="3" t="s">
        <v>58</v>
      </c>
      <c r="E7" s="3" t="s">
        <v>59</v>
      </c>
      <c r="F7" s="3" t="s">
        <v>60</v>
      </c>
      <c r="G7" s="3">
        <v>60</v>
      </c>
      <c r="H7" s="3">
        <v>14</v>
      </c>
      <c r="I7" s="3">
        <v>0</v>
      </c>
      <c r="J7" s="3">
        <v>46</v>
      </c>
      <c r="K7" s="3">
        <f t="shared" si="0"/>
        <v>120</v>
      </c>
      <c r="L7" s="3">
        <f t="shared" si="1"/>
        <v>2</v>
      </c>
      <c r="M7" s="3" t="str">
        <f t="shared" si="2"/>
        <v>2h 00m</v>
      </c>
      <c r="N7" s="3" t="s">
        <v>38</v>
      </c>
      <c r="O7" s="3" t="s">
        <v>39</v>
      </c>
    </row>
    <row r="8" spans="1:15" ht="28.5">
      <c r="A8" s="3">
        <v>1</v>
      </c>
      <c r="B8" s="3">
        <v>7</v>
      </c>
      <c r="C8" s="3" t="s">
        <v>61</v>
      </c>
      <c r="D8" s="3" t="s">
        <v>62</v>
      </c>
      <c r="E8" s="3" t="s">
        <v>63</v>
      </c>
      <c r="F8" s="3" t="s">
        <v>64</v>
      </c>
      <c r="G8" s="3">
        <v>25</v>
      </c>
      <c r="H8" s="3">
        <v>15</v>
      </c>
      <c r="I8" s="3">
        <v>15</v>
      </c>
      <c r="J8" s="3">
        <v>45</v>
      </c>
      <c r="K8" s="3">
        <f t="shared" si="0"/>
        <v>100</v>
      </c>
      <c r="L8" s="3">
        <f t="shared" si="1"/>
        <v>1.6666666666666667</v>
      </c>
      <c r="M8" s="3" t="str">
        <f t="shared" si="2"/>
        <v>1h 40m</v>
      </c>
      <c r="N8" s="3" t="s">
        <v>52</v>
      </c>
      <c r="O8" s="3" t="s">
        <v>39</v>
      </c>
    </row>
    <row r="9" spans="1:15">
      <c r="A9" s="3">
        <v>2</v>
      </c>
      <c r="B9" s="3">
        <v>1</v>
      </c>
      <c r="C9" s="3" t="s">
        <v>65</v>
      </c>
      <c r="D9" s="3" t="s">
        <v>66</v>
      </c>
      <c r="E9" s="3" t="s">
        <v>67</v>
      </c>
      <c r="F9" s="3" t="s">
        <v>68</v>
      </c>
      <c r="G9" s="3">
        <v>71</v>
      </c>
      <c r="H9" s="3">
        <v>23</v>
      </c>
      <c r="I9" s="3">
        <v>24</v>
      </c>
      <c r="J9" s="3">
        <v>22</v>
      </c>
      <c r="K9" s="3">
        <f t="shared" si="0"/>
        <v>140</v>
      </c>
      <c r="L9" s="3">
        <f t="shared" si="1"/>
        <v>2.3333333333333335</v>
      </c>
      <c r="M9" s="3" t="str">
        <f t="shared" si="2"/>
        <v>2h 20m</v>
      </c>
      <c r="N9" s="3" t="s">
        <v>38</v>
      </c>
      <c r="O9" s="3" t="s">
        <v>39</v>
      </c>
    </row>
    <row r="10" spans="1:15">
      <c r="A10" s="3">
        <v>2</v>
      </c>
      <c r="B10" s="3">
        <v>2</v>
      </c>
      <c r="C10" s="3" t="s">
        <v>69</v>
      </c>
      <c r="D10" s="3" t="s">
        <v>70</v>
      </c>
      <c r="E10" s="3" t="s">
        <v>71</v>
      </c>
      <c r="F10" s="3" t="s">
        <v>72</v>
      </c>
      <c r="G10" s="3">
        <v>60</v>
      </c>
      <c r="H10" s="3">
        <v>22</v>
      </c>
      <c r="I10" s="3">
        <v>28</v>
      </c>
      <c r="J10" s="3">
        <v>20</v>
      </c>
      <c r="K10" s="3">
        <f t="shared" si="0"/>
        <v>130</v>
      </c>
      <c r="L10" s="3">
        <f t="shared" si="1"/>
        <v>2.1666666666666665</v>
      </c>
      <c r="M10" s="3" t="str">
        <f t="shared" si="2"/>
        <v>2h 10m</v>
      </c>
      <c r="N10" s="3" t="s">
        <v>52</v>
      </c>
      <c r="O10" s="3" t="s">
        <v>39</v>
      </c>
    </row>
    <row r="11" spans="1:15" ht="28.5">
      <c r="A11" s="3">
        <v>2</v>
      </c>
      <c r="B11" s="3">
        <v>3</v>
      </c>
      <c r="C11" s="3" t="s">
        <v>73</v>
      </c>
      <c r="D11" s="3" t="s">
        <v>74</v>
      </c>
      <c r="E11" s="3" t="s">
        <v>75</v>
      </c>
      <c r="F11" s="3" t="s">
        <v>76</v>
      </c>
      <c r="G11" s="3">
        <v>68</v>
      </c>
      <c r="H11" s="3">
        <v>20</v>
      </c>
      <c r="I11" s="3">
        <v>24</v>
      </c>
      <c r="J11" s="3">
        <v>28</v>
      </c>
      <c r="K11" s="3">
        <f t="shared" si="0"/>
        <v>140</v>
      </c>
      <c r="L11" s="3">
        <f t="shared" si="1"/>
        <v>2.3333333333333335</v>
      </c>
      <c r="M11" s="3" t="str">
        <f t="shared" si="2"/>
        <v>2h 20m</v>
      </c>
      <c r="N11" s="3" t="s">
        <v>52</v>
      </c>
      <c r="O11" s="3" t="s">
        <v>39</v>
      </c>
    </row>
    <row r="12" spans="1:15">
      <c r="A12" s="3">
        <v>2</v>
      </c>
      <c r="B12" s="3">
        <v>4</v>
      </c>
      <c r="C12" s="3" t="s">
        <v>77</v>
      </c>
      <c r="D12" s="3" t="s">
        <v>78</v>
      </c>
      <c r="E12" s="3" t="s">
        <v>79</v>
      </c>
      <c r="F12" s="3" t="s">
        <v>80</v>
      </c>
      <c r="G12" s="3">
        <v>60</v>
      </c>
      <c r="H12" s="3">
        <v>21</v>
      </c>
      <c r="I12" s="3">
        <v>44</v>
      </c>
      <c r="J12" s="3">
        <v>20</v>
      </c>
      <c r="K12" s="3">
        <f t="shared" si="0"/>
        <v>145</v>
      </c>
      <c r="L12" s="3">
        <f t="shared" si="1"/>
        <v>2.4166666666666665</v>
      </c>
      <c r="M12" s="3" t="str">
        <f t="shared" si="2"/>
        <v>2h 25m</v>
      </c>
      <c r="N12" s="3" t="s">
        <v>38</v>
      </c>
      <c r="O12" s="3" t="s">
        <v>39</v>
      </c>
    </row>
    <row r="13" spans="1:15">
      <c r="A13" s="3">
        <v>2</v>
      </c>
      <c r="B13" s="3">
        <v>5</v>
      </c>
      <c r="C13" s="3" t="s">
        <v>81</v>
      </c>
      <c r="D13" s="3" t="s">
        <v>82</v>
      </c>
      <c r="E13" s="3" t="s">
        <v>83</v>
      </c>
      <c r="F13" s="3" t="s">
        <v>84</v>
      </c>
      <c r="G13" s="3">
        <v>53</v>
      </c>
      <c r="H13" s="3">
        <v>10</v>
      </c>
      <c r="I13" s="3">
        <v>20</v>
      </c>
      <c r="J13" s="3">
        <v>37</v>
      </c>
      <c r="K13" s="3">
        <f t="shared" si="0"/>
        <v>120</v>
      </c>
      <c r="L13" s="3">
        <f t="shared" si="1"/>
        <v>2</v>
      </c>
      <c r="M13" s="3" t="str">
        <f t="shared" si="2"/>
        <v>2h 00m</v>
      </c>
      <c r="N13" s="3" t="s">
        <v>52</v>
      </c>
      <c r="O13" s="3" t="s">
        <v>39</v>
      </c>
    </row>
    <row r="14" spans="1:15">
      <c r="A14" s="3">
        <v>2</v>
      </c>
      <c r="B14" s="3">
        <v>6</v>
      </c>
      <c r="C14" s="3" t="s">
        <v>85</v>
      </c>
      <c r="D14" s="3" t="s">
        <v>86</v>
      </c>
      <c r="E14" s="3" t="s">
        <v>87</v>
      </c>
      <c r="F14" s="3" t="s">
        <v>88</v>
      </c>
      <c r="G14" s="3">
        <v>51</v>
      </c>
      <c r="H14" s="3">
        <v>28</v>
      </c>
      <c r="I14" s="3">
        <v>39</v>
      </c>
      <c r="J14" s="3">
        <v>17</v>
      </c>
      <c r="K14" s="3">
        <f t="shared" si="0"/>
        <v>135</v>
      </c>
      <c r="L14" s="3">
        <f t="shared" si="1"/>
        <v>2.25</v>
      </c>
      <c r="M14" s="3" t="str">
        <f t="shared" si="2"/>
        <v>2h 15m</v>
      </c>
      <c r="N14" s="3" t="s">
        <v>38</v>
      </c>
      <c r="O14" s="3" t="s">
        <v>39</v>
      </c>
    </row>
    <row r="15" spans="1:15" ht="28.5">
      <c r="A15" s="3">
        <v>2</v>
      </c>
      <c r="B15" s="3">
        <v>7</v>
      </c>
      <c r="C15" s="3" t="s">
        <v>61</v>
      </c>
      <c r="D15" s="3" t="s">
        <v>89</v>
      </c>
      <c r="E15" s="3" t="s">
        <v>90</v>
      </c>
      <c r="F15" s="3" t="s">
        <v>91</v>
      </c>
      <c r="G15" s="3">
        <v>30</v>
      </c>
      <c r="H15" s="3">
        <v>15</v>
      </c>
      <c r="I15" s="3">
        <v>15</v>
      </c>
      <c r="J15" s="3">
        <v>30</v>
      </c>
      <c r="K15" s="3">
        <f t="shared" si="0"/>
        <v>90</v>
      </c>
      <c r="L15" s="3">
        <f t="shared" si="1"/>
        <v>1.5</v>
      </c>
      <c r="M15" s="3" t="str">
        <f t="shared" si="2"/>
        <v>1h 30m</v>
      </c>
      <c r="N15" s="3" t="s">
        <v>52</v>
      </c>
      <c r="O15" s="3" t="s">
        <v>39</v>
      </c>
    </row>
    <row r="16" spans="1:15" ht="28.5">
      <c r="A16" s="3">
        <v>3</v>
      </c>
      <c r="B16" s="3">
        <v>1</v>
      </c>
      <c r="C16" s="3" t="s">
        <v>92</v>
      </c>
      <c r="D16" s="3" t="s">
        <v>93</v>
      </c>
      <c r="E16" s="3" t="s">
        <v>94</v>
      </c>
      <c r="F16" s="3" t="s">
        <v>95</v>
      </c>
      <c r="G16" s="3">
        <v>95</v>
      </c>
      <c r="H16" s="3">
        <v>20</v>
      </c>
      <c r="I16" s="3">
        <v>10</v>
      </c>
      <c r="J16" s="3">
        <v>15</v>
      </c>
      <c r="K16" s="3">
        <f t="shared" si="0"/>
        <v>140</v>
      </c>
      <c r="L16" s="3">
        <f t="shared" si="1"/>
        <v>2.3333333333333335</v>
      </c>
      <c r="M16" s="3" t="str">
        <f t="shared" si="2"/>
        <v>2h 20m</v>
      </c>
      <c r="N16" s="3" t="s">
        <v>52</v>
      </c>
      <c r="O16" s="3" t="s">
        <v>39</v>
      </c>
    </row>
    <row r="17" spans="1:15">
      <c r="A17" s="3">
        <v>3</v>
      </c>
      <c r="B17" s="3">
        <v>2</v>
      </c>
      <c r="C17" s="3" t="s">
        <v>96</v>
      </c>
      <c r="D17" s="3" t="s">
        <v>97</v>
      </c>
      <c r="E17" s="3" t="s">
        <v>98</v>
      </c>
      <c r="F17" s="3" t="s">
        <v>99</v>
      </c>
      <c r="G17" s="3">
        <v>45</v>
      </c>
      <c r="H17" s="3">
        <v>23</v>
      </c>
      <c r="I17" s="3">
        <v>26</v>
      </c>
      <c r="J17" s="3">
        <v>26</v>
      </c>
      <c r="K17" s="3">
        <f t="shared" si="0"/>
        <v>120</v>
      </c>
      <c r="L17" s="3">
        <f t="shared" si="1"/>
        <v>2</v>
      </c>
      <c r="M17" s="3" t="str">
        <f t="shared" si="2"/>
        <v>2h 00m</v>
      </c>
      <c r="N17" s="3" t="s">
        <v>38</v>
      </c>
      <c r="O17" s="3" t="s">
        <v>39</v>
      </c>
    </row>
    <row r="18" spans="1:15">
      <c r="A18" s="3">
        <v>3</v>
      </c>
      <c r="B18" s="3">
        <v>3</v>
      </c>
      <c r="C18" s="3" t="s">
        <v>100</v>
      </c>
      <c r="D18" s="3" t="s">
        <v>101</v>
      </c>
      <c r="E18" s="3" t="s">
        <v>102</v>
      </c>
      <c r="F18" s="3" t="s">
        <v>103</v>
      </c>
      <c r="G18" s="3">
        <v>71</v>
      </c>
      <c r="H18" s="3">
        <v>21</v>
      </c>
      <c r="I18" s="3">
        <v>38</v>
      </c>
      <c r="J18" s="3">
        <v>20</v>
      </c>
      <c r="K18" s="3">
        <f t="shared" si="0"/>
        <v>150</v>
      </c>
      <c r="L18" s="3">
        <f t="shared" si="1"/>
        <v>2.5</v>
      </c>
      <c r="M18" s="3" t="str">
        <f t="shared" si="2"/>
        <v>2h 30m</v>
      </c>
      <c r="N18" s="3" t="s">
        <v>38</v>
      </c>
      <c r="O18" s="3" t="s">
        <v>39</v>
      </c>
    </row>
    <row r="19" spans="1:15">
      <c r="A19" s="3">
        <v>3</v>
      </c>
      <c r="B19" s="3">
        <v>4</v>
      </c>
      <c r="C19" s="3" t="s">
        <v>104</v>
      </c>
      <c r="D19" s="3" t="s">
        <v>105</v>
      </c>
      <c r="E19" s="3" t="s">
        <v>106</v>
      </c>
      <c r="F19" s="3" t="s">
        <v>107</v>
      </c>
      <c r="G19" s="3">
        <v>45</v>
      </c>
      <c r="H19" s="3">
        <v>10</v>
      </c>
      <c r="I19" s="3">
        <v>33</v>
      </c>
      <c r="J19" s="3">
        <v>32</v>
      </c>
      <c r="K19" s="3">
        <f t="shared" si="0"/>
        <v>120</v>
      </c>
      <c r="L19" s="3">
        <f t="shared" si="1"/>
        <v>2</v>
      </c>
      <c r="M19" s="3" t="str">
        <f t="shared" si="2"/>
        <v>2h 00m</v>
      </c>
      <c r="N19" s="3" t="s">
        <v>52</v>
      </c>
      <c r="O19" s="3" t="s">
        <v>39</v>
      </c>
    </row>
    <row r="20" spans="1:15">
      <c r="A20" s="3">
        <v>3</v>
      </c>
      <c r="B20" s="3">
        <v>5</v>
      </c>
      <c r="C20" s="3" t="s">
        <v>108</v>
      </c>
      <c r="D20" s="3" t="s">
        <v>109</v>
      </c>
      <c r="E20" s="3" t="s">
        <v>110</v>
      </c>
      <c r="F20" s="3" t="s">
        <v>111</v>
      </c>
      <c r="G20" s="3">
        <v>64</v>
      </c>
      <c r="H20" s="3">
        <v>19</v>
      </c>
      <c r="I20" s="3">
        <v>30</v>
      </c>
      <c r="J20" s="3">
        <v>17</v>
      </c>
      <c r="K20" s="3">
        <f t="shared" si="0"/>
        <v>130</v>
      </c>
      <c r="L20" s="3">
        <f t="shared" si="1"/>
        <v>2.1666666666666665</v>
      </c>
      <c r="M20" s="3" t="str">
        <f t="shared" si="2"/>
        <v>2h 10m</v>
      </c>
      <c r="N20" s="3" t="s">
        <v>38</v>
      </c>
      <c r="O20" s="3" t="s">
        <v>39</v>
      </c>
    </row>
    <row r="21" spans="1:15">
      <c r="A21" s="3">
        <v>3</v>
      </c>
      <c r="B21" s="3">
        <v>6</v>
      </c>
      <c r="C21" s="3" t="s">
        <v>112</v>
      </c>
      <c r="D21" s="3" t="s">
        <v>113</v>
      </c>
      <c r="E21" s="3" t="s">
        <v>114</v>
      </c>
      <c r="F21" s="3" t="s">
        <v>115</v>
      </c>
      <c r="G21" s="3">
        <v>55</v>
      </c>
      <c r="H21" s="3">
        <v>22</v>
      </c>
      <c r="I21" s="3">
        <v>27</v>
      </c>
      <c r="J21" s="3">
        <v>16</v>
      </c>
      <c r="K21" s="3">
        <f t="shared" si="0"/>
        <v>120</v>
      </c>
      <c r="L21" s="3">
        <f t="shared" si="1"/>
        <v>2</v>
      </c>
      <c r="M21" s="3" t="str">
        <f t="shared" si="2"/>
        <v>2h 00m</v>
      </c>
      <c r="N21" s="3" t="s">
        <v>38</v>
      </c>
      <c r="O21" s="3" t="s">
        <v>39</v>
      </c>
    </row>
    <row r="22" spans="1:15">
      <c r="A22" s="3">
        <v>3</v>
      </c>
      <c r="B22" s="3">
        <v>7</v>
      </c>
      <c r="C22" s="3" t="s">
        <v>116</v>
      </c>
      <c r="D22" s="3" t="s">
        <v>117</v>
      </c>
      <c r="E22" s="3" t="s">
        <v>118</v>
      </c>
      <c r="F22" s="3" t="s">
        <v>119</v>
      </c>
      <c r="G22" s="3">
        <v>35</v>
      </c>
      <c r="H22" s="3">
        <v>24</v>
      </c>
      <c r="I22" s="3">
        <v>40</v>
      </c>
      <c r="J22" s="3">
        <v>36</v>
      </c>
      <c r="K22" s="3">
        <f t="shared" si="0"/>
        <v>135</v>
      </c>
      <c r="L22" s="3">
        <f t="shared" si="1"/>
        <v>2.25</v>
      </c>
      <c r="M22" s="3" t="str">
        <f t="shared" si="2"/>
        <v>2h 15m</v>
      </c>
      <c r="N22" s="3" t="s">
        <v>52</v>
      </c>
      <c r="O22" s="3" t="s">
        <v>39</v>
      </c>
    </row>
    <row r="23" spans="1:15">
      <c r="A23" s="3">
        <v>4</v>
      </c>
      <c r="B23" s="3">
        <v>1</v>
      </c>
      <c r="C23" s="3" t="s">
        <v>120</v>
      </c>
      <c r="D23" s="3" t="s">
        <v>121</v>
      </c>
      <c r="E23" s="3" t="s">
        <v>122</v>
      </c>
      <c r="F23" s="3" t="s">
        <v>123</v>
      </c>
      <c r="G23" s="3">
        <v>73</v>
      </c>
      <c r="H23" s="3">
        <v>22</v>
      </c>
      <c r="I23" s="3">
        <v>25</v>
      </c>
      <c r="J23" s="3">
        <v>20</v>
      </c>
      <c r="K23" s="3">
        <f t="shared" si="0"/>
        <v>140</v>
      </c>
      <c r="L23" s="3">
        <f t="shared" si="1"/>
        <v>2.3333333333333335</v>
      </c>
      <c r="M23" s="3" t="str">
        <f t="shared" si="2"/>
        <v>2h 20m</v>
      </c>
      <c r="N23" s="3" t="s">
        <v>38</v>
      </c>
      <c r="O23" s="3" t="s">
        <v>39</v>
      </c>
    </row>
    <row r="24" spans="1:15">
      <c r="A24" s="3">
        <v>4</v>
      </c>
      <c r="B24" s="3">
        <v>2</v>
      </c>
      <c r="C24" s="3" t="s">
        <v>124</v>
      </c>
      <c r="D24" s="3" t="s">
        <v>125</v>
      </c>
      <c r="E24" s="3" t="s">
        <v>126</v>
      </c>
      <c r="F24" s="3" t="s">
        <v>127</v>
      </c>
      <c r="G24" s="3">
        <v>56</v>
      </c>
      <c r="H24" s="3">
        <v>10</v>
      </c>
      <c r="I24" s="3">
        <v>20</v>
      </c>
      <c r="J24" s="3">
        <v>34</v>
      </c>
      <c r="K24" s="3">
        <f t="shared" si="0"/>
        <v>120</v>
      </c>
      <c r="L24" s="3">
        <f t="shared" si="1"/>
        <v>2</v>
      </c>
      <c r="M24" s="3" t="str">
        <f t="shared" si="2"/>
        <v>2h 00m</v>
      </c>
      <c r="N24" s="3" t="s">
        <v>52</v>
      </c>
      <c r="O24" s="3" t="s">
        <v>39</v>
      </c>
    </row>
    <row r="25" spans="1:15">
      <c r="A25" s="3">
        <v>4</v>
      </c>
      <c r="B25" s="3">
        <v>3</v>
      </c>
      <c r="C25" s="3" t="s">
        <v>128</v>
      </c>
      <c r="D25" s="3" t="s">
        <v>129</v>
      </c>
      <c r="E25" s="3" t="s">
        <v>60</v>
      </c>
      <c r="F25" s="3" t="s">
        <v>60</v>
      </c>
      <c r="G25" s="3">
        <v>74</v>
      </c>
      <c r="H25" s="3">
        <v>0</v>
      </c>
      <c r="I25" s="3">
        <v>0</v>
      </c>
      <c r="J25" s="3">
        <v>46</v>
      </c>
      <c r="K25" s="3">
        <f t="shared" si="0"/>
        <v>120</v>
      </c>
      <c r="L25" s="3">
        <f t="shared" si="1"/>
        <v>2</v>
      </c>
      <c r="M25" s="3" t="str">
        <f t="shared" si="2"/>
        <v>2h 00m</v>
      </c>
      <c r="N25" s="3" t="s">
        <v>38</v>
      </c>
      <c r="O25" s="3" t="s">
        <v>39</v>
      </c>
    </row>
    <row r="26" spans="1:15" ht="28.5">
      <c r="A26" s="3">
        <v>4</v>
      </c>
      <c r="B26" s="3">
        <v>4</v>
      </c>
      <c r="C26" s="3" t="s">
        <v>130</v>
      </c>
      <c r="D26" s="3" t="s">
        <v>131</v>
      </c>
      <c r="E26" s="3" t="s">
        <v>132</v>
      </c>
      <c r="F26" s="3" t="s">
        <v>133</v>
      </c>
      <c r="G26" s="3">
        <v>98</v>
      </c>
      <c r="H26" s="3">
        <v>18</v>
      </c>
      <c r="I26" s="3">
        <v>27</v>
      </c>
      <c r="J26" s="3">
        <v>22</v>
      </c>
      <c r="K26" s="3">
        <f t="shared" si="0"/>
        <v>165</v>
      </c>
      <c r="L26" s="3">
        <f t="shared" si="1"/>
        <v>2.75</v>
      </c>
      <c r="M26" s="3" t="str">
        <f t="shared" si="2"/>
        <v>2h 45m</v>
      </c>
      <c r="N26" s="3" t="s">
        <v>38</v>
      </c>
      <c r="O26" s="3" t="s">
        <v>39</v>
      </c>
    </row>
    <row r="27" spans="1:15" ht="28.5">
      <c r="A27" s="3">
        <v>4</v>
      </c>
      <c r="B27" s="3">
        <v>5</v>
      </c>
      <c r="C27" s="3" t="s">
        <v>134</v>
      </c>
      <c r="D27" s="3" t="s">
        <v>135</v>
      </c>
      <c r="E27" s="3" t="s">
        <v>136</v>
      </c>
      <c r="F27" s="3" t="s">
        <v>60</v>
      </c>
      <c r="G27" s="3">
        <v>96</v>
      </c>
      <c r="H27" s="3">
        <v>25</v>
      </c>
      <c r="I27" s="3">
        <v>0</v>
      </c>
      <c r="J27" s="3">
        <v>34</v>
      </c>
      <c r="K27" s="3">
        <f t="shared" si="0"/>
        <v>155</v>
      </c>
      <c r="L27" s="3">
        <f t="shared" si="1"/>
        <v>2.5833333333333335</v>
      </c>
      <c r="M27" s="3" t="str">
        <f t="shared" si="2"/>
        <v>2h 35m</v>
      </c>
      <c r="N27" s="3" t="s">
        <v>38</v>
      </c>
      <c r="O27" s="3" t="s">
        <v>39</v>
      </c>
    </row>
    <row r="28" spans="1:15" ht="28.5">
      <c r="A28" s="3">
        <v>4</v>
      </c>
      <c r="B28" s="3">
        <v>6</v>
      </c>
      <c r="C28" s="3" t="s">
        <v>137</v>
      </c>
      <c r="D28" s="3" t="s">
        <v>138</v>
      </c>
      <c r="E28" s="3" t="s">
        <v>139</v>
      </c>
      <c r="F28" s="3" t="s">
        <v>60</v>
      </c>
      <c r="G28" s="3">
        <v>152</v>
      </c>
      <c r="H28" s="3">
        <v>10</v>
      </c>
      <c r="I28" s="3">
        <v>0</v>
      </c>
      <c r="J28" s="3">
        <v>8</v>
      </c>
      <c r="K28" s="3">
        <f t="shared" si="0"/>
        <v>170</v>
      </c>
      <c r="L28" s="3">
        <f t="shared" si="1"/>
        <v>2.8333333333333335</v>
      </c>
      <c r="M28" s="3" t="str">
        <f t="shared" si="2"/>
        <v>2h 50m</v>
      </c>
      <c r="N28" s="3" t="s">
        <v>52</v>
      </c>
      <c r="O28" s="3" t="s">
        <v>39</v>
      </c>
    </row>
    <row r="29" spans="1:15" ht="28.5">
      <c r="A29" s="3">
        <v>4</v>
      </c>
      <c r="B29" s="3">
        <v>7</v>
      </c>
      <c r="C29" s="3" t="s">
        <v>61</v>
      </c>
      <c r="D29" s="3" t="s">
        <v>140</v>
      </c>
      <c r="E29" s="3" t="s">
        <v>141</v>
      </c>
      <c r="F29" s="3" t="s">
        <v>141</v>
      </c>
      <c r="G29" s="3">
        <v>20</v>
      </c>
      <c r="H29" s="3">
        <v>10</v>
      </c>
      <c r="I29" s="3">
        <v>10</v>
      </c>
      <c r="J29" s="3">
        <v>20</v>
      </c>
      <c r="K29" s="3">
        <f t="shared" si="0"/>
        <v>60</v>
      </c>
      <c r="L29" s="3">
        <f t="shared" si="1"/>
        <v>1</v>
      </c>
      <c r="M29" s="3" t="str">
        <f t="shared" si="2"/>
        <v>1h 00m</v>
      </c>
      <c r="N29" s="3" t="s">
        <v>38</v>
      </c>
      <c r="O29" s="3" t="s">
        <v>39</v>
      </c>
    </row>
    <row r="30" spans="1:15" ht="28.5">
      <c r="A30" s="3">
        <v>5</v>
      </c>
      <c r="B30" s="3">
        <v>1</v>
      </c>
      <c r="C30" s="3" t="s">
        <v>142</v>
      </c>
      <c r="D30" s="3" t="s">
        <v>143</v>
      </c>
      <c r="E30" s="3" t="s">
        <v>139</v>
      </c>
      <c r="F30" s="3" t="s">
        <v>144</v>
      </c>
      <c r="G30" s="3">
        <v>76</v>
      </c>
      <c r="H30" s="3">
        <v>10</v>
      </c>
      <c r="I30" s="3">
        <v>29</v>
      </c>
      <c r="J30" s="3">
        <v>25</v>
      </c>
      <c r="K30" s="3">
        <f t="shared" si="0"/>
        <v>140</v>
      </c>
      <c r="L30" s="3">
        <f t="shared" si="1"/>
        <v>2.3333333333333335</v>
      </c>
      <c r="M30" s="3" t="str">
        <f t="shared" si="2"/>
        <v>2h 20m</v>
      </c>
      <c r="N30" s="3" t="s">
        <v>52</v>
      </c>
      <c r="O30" s="3" t="s">
        <v>39</v>
      </c>
    </row>
    <row r="31" spans="1:15">
      <c r="A31" s="3">
        <v>5</v>
      </c>
      <c r="B31" s="3">
        <v>2</v>
      </c>
      <c r="C31" s="3" t="s">
        <v>145</v>
      </c>
      <c r="D31" s="3" t="s">
        <v>146</v>
      </c>
      <c r="E31" s="3" t="s">
        <v>60</v>
      </c>
      <c r="F31" s="3" t="s">
        <v>60</v>
      </c>
      <c r="G31" s="3">
        <v>91</v>
      </c>
      <c r="H31" s="3">
        <v>0</v>
      </c>
      <c r="I31" s="3">
        <v>0</v>
      </c>
      <c r="J31" s="3">
        <v>39</v>
      </c>
      <c r="K31" s="3">
        <f t="shared" si="0"/>
        <v>130</v>
      </c>
      <c r="L31" s="3">
        <f t="shared" si="1"/>
        <v>2.1666666666666665</v>
      </c>
      <c r="M31" s="3" t="str">
        <f t="shared" si="2"/>
        <v>2h 10m</v>
      </c>
      <c r="N31" s="3" t="s">
        <v>38</v>
      </c>
      <c r="O31" s="3" t="s">
        <v>39</v>
      </c>
    </row>
    <row r="32" spans="1:15" ht="28.5">
      <c r="A32" s="3">
        <v>5</v>
      </c>
      <c r="B32" s="3">
        <v>3</v>
      </c>
      <c r="C32" s="3" t="s">
        <v>147</v>
      </c>
      <c r="D32" s="3" t="s">
        <v>148</v>
      </c>
      <c r="E32" s="3" t="s">
        <v>60</v>
      </c>
      <c r="F32" s="3" t="s">
        <v>60</v>
      </c>
      <c r="G32" s="3">
        <v>120</v>
      </c>
      <c r="H32" s="3">
        <v>0</v>
      </c>
      <c r="I32" s="3">
        <v>0</v>
      </c>
      <c r="J32" s="3">
        <v>30</v>
      </c>
      <c r="K32" s="3">
        <f t="shared" si="0"/>
        <v>150</v>
      </c>
      <c r="L32" s="3">
        <f t="shared" si="1"/>
        <v>2.5</v>
      </c>
      <c r="M32" s="3" t="str">
        <f t="shared" si="2"/>
        <v>2h 30m</v>
      </c>
      <c r="N32" s="3" t="s">
        <v>38</v>
      </c>
      <c r="O32" s="3" t="s">
        <v>39</v>
      </c>
    </row>
    <row r="33" spans="1:15">
      <c r="A33" s="3">
        <v>5</v>
      </c>
      <c r="B33" s="3">
        <v>4</v>
      </c>
      <c r="C33" s="3" t="s">
        <v>149</v>
      </c>
      <c r="D33" s="3" t="s">
        <v>150</v>
      </c>
      <c r="E33" s="3" t="s">
        <v>60</v>
      </c>
      <c r="F33" s="3" t="s">
        <v>60</v>
      </c>
      <c r="G33" s="3">
        <v>71</v>
      </c>
      <c r="H33" s="3">
        <v>0</v>
      </c>
      <c r="I33" s="3">
        <v>0</v>
      </c>
      <c r="J33" s="3">
        <v>49</v>
      </c>
      <c r="K33" s="3">
        <f t="shared" si="0"/>
        <v>120</v>
      </c>
      <c r="L33" s="3">
        <f t="shared" si="1"/>
        <v>2</v>
      </c>
      <c r="M33" s="3" t="str">
        <f t="shared" si="2"/>
        <v>2h 00m</v>
      </c>
      <c r="N33" s="3" t="s">
        <v>38</v>
      </c>
      <c r="O33" s="3" t="s">
        <v>39</v>
      </c>
    </row>
    <row r="34" spans="1:15" ht="28.5">
      <c r="A34" s="3">
        <v>5</v>
      </c>
      <c r="B34" s="3">
        <v>5</v>
      </c>
      <c r="C34" s="3" t="s">
        <v>151</v>
      </c>
      <c r="D34" s="3" t="s">
        <v>152</v>
      </c>
      <c r="E34" s="3" t="s">
        <v>75</v>
      </c>
      <c r="F34" s="3" t="s">
        <v>153</v>
      </c>
      <c r="G34" s="3">
        <v>30</v>
      </c>
      <c r="H34" s="3">
        <v>20</v>
      </c>
      <c r="I34" s="3">
        <v>76</v>
      </c>
      <c r="J34" s="3">
        <v>34</v>
      </c>
      <c r="K34" s="3">
        <f t="shared" si="0"/>
        <v>160</v>
      </c>
      <c r="L34" s="3">
        <f t="shared" si="1"/>
        <v>2.6666666666666665</v>
      </c>
      <c r="M34" s="3" t="str">
        <f t="shared" si="2"/>
        <v>2h 40m</v>
      </c>
      <c r="N34" s="3" t="s">
        <v>52</v>
      </c>
      <c r="O34" s="3" t="s">
        <v>39</v>
      </c>
    </row>
    <row r="35" spans="1:15" ht="28.5">
      <c r="A35" s="3">
        <v>5</v>
      </c>
      <c r="B35" s="3">
        <v>6</v>
      </c>
      <c r="C35" s="3" t="s">
        <v>154</v>
      </c>
      <c r="D35" s="3" t="s">
        <v>155</v>
      </c>
      <c r="E35" s="3" t="s">
        <v>60</v>
      </c>
      <c r="F35" s="3" t="s">
        <v>60</v>
      </c>
      <c r="G35" s="3">
        <v>0</v>
      </c>
      <c r="H35" s="3">
        <v>0</v>
      </c>
      <c r="I35" s="3">
        <v>0</v>
      </c>
      <c r="J35" s="3">
        <v>130</v>
      </c>
      <c r="K35" s="3">
        <f t="shared" si="0"/>
        <v>130</v>
      </c>
      <c r="L35" s="3">
        <f t="shared" si="1"/>
        <v>2.1666666666666665</v>
      </c>
      <c r="M35" s="3" t="str">
        <f t="shared" si="2"/>
        <v>2h 10m</v>
      </c>
      <c r="N35" s="3" t="s">
        <v>38</v>
      </c>
      <c r="O35" s="3" t="s">
        <v>39</v>
      </c>
    </row>
    <row r="36" spans="1:15">
      <c r="A36" s="3">
        <v>5</v>
      </c>
      <c r="B36" s="3">
        <v>7</v>
      </c>
      <c r="C36" s="3" t="s">
        <v>156</v>
      </c>
      <c r="D36" s="3" t="s">
        <v>157</v>
      </c>
      <c r="E36" s="3" t="s">
        <v>158</v>
      </c>
      <c r="F36" s="3" t="s">
        <v>159</v>
      </c>
      <c r="G36" s="3">
        <v>0</v>
      </c>
      <c r="H36" s="3">
        <v>0</v>
      </c>
      <c r="I36" s="3">
        <v>0</v>
      </c>
      <c r="J36" s="3">
        <v>90</v>
      </c>
      <c r="K36" s="3">
        <f t="shared" si="0"/>
        <v>90</v>
      </c>
      <c r="L36" s="3">
        <f t="shared" si="1"/>
        <v>1.5</v>
      </c>
      <c r="M36" s="3" t="str">
        <f t="shared" si="2"/>
        <v>1h 30m</v>
      </c>
      <c r="N36" s="3" t="s">
        <v>52</v>
      </c>
      <c r="O36" s="3" t="s">
        <v>39</v>
      </c>
    </row>
    <row r="37" spans="1:15" ht="28.5">
      <c r="A37" s="3">
        <v>6</v>
      </c>
      <c r="B37" s="3">
        <v>1</v>
      </c>
      <c r="C37" s="3" t="s">
        <v>160</v>
      </c>
      <c r="D37" s="3" t="s">
        <v>161</v>
      </c>
      <c r="E37" s="3" t="s">
        <v>162</v>
      </c>
      <c r="F37" s="3" t="s">
        <v>163</v>
      </c>
      <c r="G37" s="3">
        <v>30</v>
      </c>
      <c r="H37" s="3">
        <v>30</v>
      </c>
      <c r="I37" s="3">
        <v>30</v>
      </c>
      <c r="J37" s="3">
        <v>60</v>
      </c>
      <c r="K37" s="3">
        <f t="shared" si="0"/>
        <v>150</v>
      </c>
      <c r="L37" s="3">
        <f t="shared" si="1"/>
        <v>2.5</v>
      </c>
      <c r="M37" s="3" t="str">
        <f t="shared" si="2"/>
        <v>2h 30m</v>
      </c>
      <c r="N37" s="3" t="s">
        <v>52</v>
      </c>
      <c r="O37" s="3" t="s">
        <v>39</v>
      </c>
    </row>
    <row r="38" spans="1:15" ht="28.5">
      <c r="A38" s="3">
        <v>6</v>
      </c>
      <c r="B38" s="3">
        <v>2</v>
      </c>
      <c r="C38" s="3" t="s">
        <v>164</v>
      </c>
      <c r="D38" s="3" t="s">
        <v>165</v>
      </c>
      <c r="E38" s="3" t="s">
        <v>166</v>
      </c>
      <c r="F38" s="3" t="s">
        <v>167</v>
      </c>
      <c r="G38" s="3">
        <v>30</v>
      </c>
      <c r="H38" s="3">
        <v>45</v>
      </c>
      <c r="I38" s="3">
        <v>45</v>
      </c>
      <c r="J38" s="3">
        <v>60</v>
      </c>
      <c r="K38" s="3">
        <f t="shared" si="0"/>
        <v>180</v>
      </c>
      <c r="L38" s="3">
        <f t="shared" si="1"/>
        <v>3</v>
      </c>
      <c r="M38" s="3" t="str">
        <f t="shared" si="2"/>
        <v>3h 00m</v>
      </c>
      <c r="N38" s="3" t="s">
        <v>52</v>
      </c>
      <c r="O38" s="3" t="s">
        <v>39</v>
      </c>
    </row>
    <row r="39" spans="1:15" ht="28.5">
      <c r="A39" s="3">
        <v>6</v>
      </c>
      <c r="B39" s="3">
        <v>3</v>
      </c>
      <c r="C39" s="3" t="s">
        <v>168</v>
      </c>
      <c r="D39" s="3" t="s">
        <v>169</v>
      </c>
      <c r="E39" s="3" t="s">
        <v>170</v>
      </c>
      <c r="F39" s="3" t="s">
        <v>171</v>
      </c>
      <c r="G39" s="3">
        <v>30</v>
      </c>
      <c r="H39" s="3">
        <v>20</v>
      </c>
      <c r="I39" s="3">
        <v>20</v>
      </c>
      <c r="J39" s="3">
        <v>50</v>
      </c>
      <c r="K39" s="3">
        <f t="shared" si="0"/>
        <v>120</v>
      </c>
      <c r="L39" s="3">
        <f t="shared" si="1"/>
        <v>2</v>
      </c>
      <c r="M39" s="3" t="str">
        <f t="shared" si="2"/>
        <v>2h 00m</v>
      </c>
      <c r="N39" s="3" t="s">
        <v>52</v>
      </c>
      <c r="O39" s="3" t="s">
        <v>39</v>
      </c>
    </row>
    <row r="40" spans="1:15">
      <c r="A40" s="3">
        <v>6</v>
      </c>
      <c r="B40" s="3">
        <v>4</v>
      </c>
      <c r="C40" s="3" t="s">
        <v>172</v>
      </c>
      <c r="D40" s="3" t="s">
        <v>173</v>
      </c>
      <c r="E40" s="3" t="s">
        <v>174</v>
      </c>
      <c r="F40" s="3" t="s">
        <v>175</v>
      </c>
      <c r="G40" s="3">
        <v>40</v>
      </c>
      <c r="H40" s="3">
        <v>30</v>
      </c>
      <c r="I40" s="3">
        <v>30</v>
      </c>
      <c r="J40" s="3">
        <v>50</v>
      </c>
      <c r="K40" s="3">
        <f t="shared" si="0"/>
        <v>150</v>
      </c>
      <c r="L40" s="3">
        <f t="shared" si="1"/>
        <v>2.5</v>
      </c>
      <c r="M40" s="3" t="str">
        <f t="shared" si="2"/>
        <v>2h 30m</v>
      </c>
      <c r="N40" s="3" t="s">
        <v>52</v>
      </c>
      <c r="O40" s="3" t="s">
        <v>39</v>
      </c>
    </row>
    <row r="41" spans="1:15">
      <c r="A41" s="3">
        <v>6</v>
      </c>
      <c r="B41" s="3">
        <v>5</v>
      </c>
      <c r="C41" s="3" t="s">
        <v>176</v>
      </c>
      <c r="D41" s="3" t="s">
        <v>157</v>
      </c>
      <c r="E41" s="3" t="s">
        <v>177</v>
      </c>
      <c r="F41" s="3" t="s">
        <v>178</v>
      </c>
      <c r="G41" s="3">
        <v>30</v>
      </c>
      <c r="H41" s="3">
        <v>26</v>
      </c>
      <c r="I41" s="3">
        <v>42</v>
      </c>
      <c r="J41" s="3">
        <v>60</v>
      </c>
      <c r="K41" s="3">
        <f t="shared" si="0"/>
        <v>158</v>
      </c>
      <c r="L41" s="3">
        <f t="shared" si="1"/>
        <v>2.6333333333333333</v>
      </c>
      <c r="M41" s="3" t="str">
        <f t="shared" si="2"/>
        <v>2h 38m</v>
      </c>
      <c r="N41" s="3" t="s">
        <v>52</v>
      </c>
      <c r="O41" s="3" t="s">
        <v>39</v>
      </c>
    </row>
    <row r="42" spans="1:15">
      <c r="A42" s="3">
        <v>6</v>
      </c>
      <c r="B42" s="3">
        <v>6</v>
      </c>
      <c r="C42" s="3" t="s">
        <v>179</v>
      </c>
      <c r="D42" s="3" t="s">
        <v>180</v>
      </c>
      <c r="E42" s="3" t="s">
        <v>60</v>
      </c>
      <c r="F42" s="3" t="s">
        <v>60</v>
      </c>
      <c r="G42" s="3">
        <v>60</v>
      </c>
      <c r="H42" s="3">
        <v>0</v>
      </c>
      <c r="I42" s="3">
        <v>0</v>
      </c>
      <c r="J42" s="3">
        <v>67</v>
      </c>
      <c r="K42" s="3">
        <f t="shared" si="0"/>
        <v>127</v>
      </c>
      <c r="L42" s="3">
        <f t="shared" si="1"/>
        <v>2.1166666666666667</v>
      </c>
      <c r="M42" s="3" t="str">
        <f t="shared" si="2"/>
        <v>2h 07m</v>
      </c>
      <c r="N42" s="3" t="s">
        <v>52</v>
      </c>
      <c r="O42" s="3" t="s">
        <v>39</v>
      </c>
    </row>
    <row r="43" spans="1:15" ht="28.5">
      <c r="A43" s="3">
        <v>6</v>
      </c>
      <c r="B43" s="3">
        <v>7</v>
      </c>
      <c r="C43" s="3" t="s">
        <v>181</v>
      </c>
      <c r="D43" s="3" t="s">
        <v>182</v>
      </c>
      <c r="E43" s="3" t="s">
        <v>60</v>
      </c>
      <c r="F43" s="3" t="s">
        <v>60</v>
      </c>
      <c r="G43" s="3">
        <v>0</v>
      </c>
      <c r="H43" s="3">
        <v>0</v>
      </c>
      <c r="I43" s="3">
        <v>0</v>
      </c>
      <c r="J43" s="3">
        <v>20</v>
      </c>
      <c r="K43" s="3">
        <f t="shared" si="0"/>
        <v>20</v>
      </c>
      <c r="L43" s="3">
        <f t="shared" si="1"/>
        <v>0.33333333333333331</v>
      </c>
      <c r="M43" s="3" t="str">
        <f t="shared" si="2"/>
        <v>0h 20m</v>
      </c>
      <c r="N43" s="3" t="s">
        <v>52</v>
      </c>
      <c r="O43" s="3" t="s">
        <v>39</v>
      </c>
    </row>
  </sheetData>
  <conditionalFormatting sqref="L2:L43">
    <cfRule type="dataBar" priority="1">
      <dataBar>
        <cfvo type="min"/>
        <cfvo type="max"/>
        <color rgb="FF4F81BD"/>
      </dataBar>
    </cfRule>
    <cfRule type="dataBar" priority="2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{732571A4-A152-4AF1-420A-13A54AA6A6C7}</x14:id>
        </ext>
      </extLst>
    </cfRule>
  </conditionalFormatting>
  <dataValidations count="1">
    <dataValidation type="list" sqref="O2:O43" xr:uid="{00000000-0002-0000-0100-000000000000}">
      <formula1>"Not Started,In Progress,Done,Skipped"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732571A4-A152-4AF1-420A-13A54AA6A6C7}">
            <x14:dataBar>
              <x14:cfvo type="min"/>
              <x14:cfvo type="max"/>
              <x14:negativeFillColor auto="1"/>
              <x14:axisColor auto="1"/>
            </x14:dataBar>
          </x14:cfRule>
          <xm:sqref>L2:L43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9AF67E-BC73-4A32-AA44-612DDBF8D9E6}">
  <dimension ref="A1:R44"/>
  <sheetViews>
    <sheetView zoomScaleNormal="100" workbookViewId="0">
      <selection activeCell="H4" sqref="H4"/>
    </sheetView>
  </sheetViews>
  <sheetFormatPr defaultRowHeight="14.25"/>
  <cols>
    <col min="1" max="1" width="4.625" bestFit="1" customWidth="1"/>
    <col min="2" max="2" width="3.5" bestFit="1" customWidth="1"/>
    <col min="3" max="3" width="31.75" bestFit="1" customWidth="1"/>
    <col min="4" max="4" width="40" bestFit="1" customWidth="1"/>
    <col min="5" max="8" width="3.5" customWidth="1"/>
    <col min="9" max="9" width="48" bestFit="1" customWidth="1"/>
    <col min="10" max="10" width="26.125" bestFit="1" customWidth="1"/>
  </cols>
  <sheetData>
    <row r="1" spans="1:18">
      <c r="A1" s="9" t="s">
        <v>3</v>
      </c>
      <c r="B1" s="9" t="s">
        <v>25</v>
      </c>
      <c r="C1" s="9" t="s">
        <v>26</v>
      </c>
      <c r="D1" s="9" t="s">
        <v>27</v>
      </c>
      <c r="E1" s="12" t="s">
        <v>422</v>
      </c>
      <c r="F1" s="12" t="s">
        <v>424</v>
      </c>
      <c r="G1" s="12" t="s">
        <v>423</v>
      </c>
      <c r="H1" s="12" t="s">
        <v>422</v>
      </c>
      <c r="I1" s="9" t="s">
        <v>5</v>
      </c>
      <c r="J1" s="9" t="s">
        <v>6</v>
      </c>
      <c r="K1" s="9" t="s">
        <v>28</v>
      </c>
      <c r="L1" s="9" t="s">
        <v>29</v>
      </c>
      <c r="M1" s="9" t="s">
        <v>30</v>
      </c>
      <c r="N1" s="9" t="s">
        <v>31</v>
      </c>
      <c r="O1" s="9" t="s">
        <v>32</v>
      </c>
      <c r="P1" s="9" t="s">
        <v>9</v>
      </c>
      <c r="Q1" s="9" t="s">
        <v>33</v>
      </c>
      <c r="R1" s="9" t="s">
        <v>16</v>
      </c>
    </row>
    <row r="2" spans="1:18">
      <c r="A2" s="9">
        <v>1</v>
      </c>
      <c r="B2" s="9">
        <v>1</v>
      </c>
      <c r="C2" s="9" t="s">
        <v>34</v>
      </c>
      <c r="D2" s="10" t="s">
        <v>35</v>
      </c>
      <c r="E2" s="9">
        <v>1</v>
      </c>
      <c r="F2" s="9">
        <v>1</v>
      </c>
      <c r="G2" s="9">
        <v>1</v>
      </c>
      <c r="H2" s="9">
        <v>1</v>
      </c>
      <c r="I2" s="11" t="s">
        <v>36</v>
      </c>
      <c r="J2" s="9" t="s">
        <v>37</v>
      </c>
      <c r="K2" s="9">
        <v>60</v>
      </c>
      <c r="L2" s="9">
        <v>78</v>
      </c>
      <c r="M2" s="9">
        <v>24</v>
      </c>
      <c r="N2" s="9">
        <v>8</v>
      </c>
      <c r="O2" s="9">
        <v>170</v>
      </c>
      <c r="P2" s="9" t="s">
        <v>405</v>
      </c>
      <c r="Q2" s="9" t="s">
        <v>38</v>
      </c>
      <c r="R2" s="9" t="s">
        <v>39</v>
      </c>
    </row>
    <row r="3" spans="1:18">
      <c r="A3" s="9">
        <v>1</v>
      </c>
      <c r="B3" s="9">
        <v>3</v>
      </c>
      <c r="C3" s="9" t="s">
        <v>44</v>
      </c>
      <c r="D3" s="10" t="s">
        <v>45</v>
      </c>
      <c r="E3" s="9">
        <v>1</v>
      </c>
      <c r="F3" s="9">
        <v>2</v>
      </c>
      <c r="G3" s="9">
        <v>6</v>
      </c>
      <c r="H3" s="9">
        <v>4</v>
      </c>
      <c r="I3" s="11" t="s">
        <v>46</v>
      </c>
      <c r="J3" s="9" t="s">
        <v>47</v>
      </c>
      <c r="K3" s="9">
        <v>63</v>
      </c>
      <c r="L3" s="9">
        <v>21</v>
      </c>
      <c r="M3" s="9">
        <v>39</v>
      </c>
      <c r="N3" s="9">
        <v>17</v>
      </c>
      <c r="O3" s="9">
        <v>140</v>
      </c>
      <c r="P3" s="9" t="s">
        <v>407</v>
      </c>
      <c r="Q3" s="9" t="s">
        <v>38</v>
      </c>
      <c r="R3" s="9" t="s">
        <v>39</v>
      </c>
    </row>
    <row r="4" spans="1:18">
      <c r="A4" s="9">
        <v>1</v>
      </c>
      <c r="B4" s="9">
        <v>4</v>
      </c>
      <c r="C4" s="9" t="s">
        <v>48</v>
      </c>
      <c r="D4" s="10" t="s">
        <v>49</v>
      </c>
      <c r="E4" s="9">
        <v>1</v>
      </c>
      <c r="F4" s="9">
        <v>2</v>
      </c>
      <c r="G4" s="9">
        <v>16</v>
      </c>
      <c r="H4" s="9">
        <v>5</v>
      </c>
      <c r="I4" s="11" t="s">
        <v>50</v>
      </c>
      <c r="J4" s="9" t="s">
        <v>51</v>
      </c>
      <c r="K4" s="9">
        <v>45</v>
      </c>
      <c r="L4" s="9">
        <v>25</v>
      </c>
      <c r="M4" s="9">
        <v>37</v>
      </c>
      <c r="N4" s="9">
        <v>13</v>
      </c>
      <c r="O4" s="9">
        <v>120</v>
      </c>
      <c r="P4" s="9" t="s">
        <v>406</v>
      </c>
      <c r="Q4" s="9" t="s">
        <v>52</v>
      </c>
      <c r="R4" s="9" t="s">
        <v>39</v>
      </c>
    </row>
    <row r="5" spans="1:18">
      <c r="A5" s="9">
        <v>1</v>
      </c>
      <c r="B5" s="9">
        <v>5</v>
      </c>
      <c r="C5" s="9" t="s">
        <v>53</v>
      </c>
      <c r="D5" s="9" t="s">
        <v>54</v>
      </c>
      <c r="E5" s="9">
        <v>1</v>
      </c>
      <c r="F5" s="9">
        <v>3</v>
      </c>
      <c r="G5" s="9">
        <v>9</v>
      </c>
      <c r="H5" s="9">
        <v>3</v>
      </c>
      <c r="I5" s="9" t="s">
        <v>55</v>
      </c>
      <c r="J5" s="9" t="s">
        <v>56</v>
      </c>
      <c r="K5" s="9">
        <v>53</v>
      </c>
      <c r="L5" s="9">
        <v>19</v>
      </c>
      <c r="M5" s="9">
        <v>39</v>
      </c>
      <c r="N5" s="9">
        <v>19</v>
      </c>
      <c r="O5" s="9">
        <v>130</v>
      </c>
      <c r="P5" s="9" t="s">
        <v>408</v>
      </c>
      <c r="Q5" s="9" t="s">
        <v>38</v>
      </c>
      <c r="R5" s="9" t="s">
        <v>39</v>
      </c>
    </row>
    <row r="6" spans="1:18">
      <c r="A6" s="9">
        <v>2</v>
      </c>
      <c r="B6" s="9">
        <v>4</v>
      </c>
      <c r="C6" s="9" t="s">
        <v>77</v>
      </c>
      <c r="D6" s="9" t="s">
        <v>78</v>
      </c>
      <c r="E6" s="9">
        <v>1</v>
      </c>
      <c r="F6" s="9">
        <v>4</v>
      </c>
      <c r="G6" s="9">
        <v>11</v>
      </c>
      <c r="H6" s="9">
        <v>9</v>
      </c>
      <c r="I6" s="9" t="s">
        <v>79</v>
      </c>
      <c r="J6" s="9" t="s">
        <v>80</v>
      </c>
      <c r="K6" s="9">
        <v>60</v>
      </c>
      <c r="L6" s="9">
        <v>21</v>
      </c>
      <c r="M6" s="9">
        <v>44</v>
      </c>
      <c r="N6" s="9">
        <v>20</v>
      </c>
      <c r="O6" s="9">
        <v>145</v>
      </c>
      <c r="P6" s="9" t="s">
        <v>410</v>
      </c>
      <c r="Q6" s="9" t="s">
        <v>38</v>
      </c>
      <c r="R6" s="9" t="s">
        <v>39</v>
      </c>
    </row>
    <row r="7" spans="1:18">
      <c r="A7" s="9">
        <v>2</v>
      </c>
      <c r="B7" s="9">
        <v>1</v>
      </c>
      <c r="C7" s="9" t="s">
        <v>65</v>
      </c>
      <c r="D7" s="9" t="s">
        <v>66</v>
      </c>
      <c r="E7" s="9">
        <v>1</v>
      </c>
      <c r="F7" s="9">
        <v>5</v>
      </c>
      <c r="G7" s="9">
        <v>7</v>
      </c>
      <c r="H7" s="9">
        <v>6</v>
      </c>
      <c r="I7" s="9" t="s">
        <v>67</v>
      </c>
      <c r="J7" s="9" t="s">
        <v>68</v>
      </c>
      <c r="K7" s="9">
        <v>71</v>
      </c>
      <c r="L7" s="9">
        <v>23</v>
      </c>
      <c r="M7" s="9">
        <v>24</v>
      </c>
      <c r="N7" s="9">
        <v>22</v>
      </c>
      <c r="O7" s="9">
        <v>140</v>
      </c>
      <c r="P7" s="9" t="s">
        <v>407</v>
      </c>
      <c r="Q7" s="9" t="s">
        <v>38</v>
      </c>
      <c r="R7" s="9" t="s">
        <v>39</v>
      </c>
    </row>
    <row r="8" spans="1:18">
      <c r="A8" s="9">
        <v>2</v>
      </c>
      <c r="B8" s="9">
        <v>2</v>
      </c>
      <c r="C8" s="9" t="s">
        <v>69</v>
      </c>
      <c r="D8" s="9" t="s">
        <v>70</v>
      </c>
      <c r="E8" s="9">
        <v>1</v>
      </c>
      <c r="F8" s="9">
        <v>5</v>
      </c>
      <c r="G8" s="9">
        <v>8</v>
      </c>
      <c r="H8" s="9">
        <v>7</v>
      </c>
      <c r="I8" s="9" t="s">
        <v>71</v>
      </c>
      <c r="J8" s="9" t="s">
        <v>72</v>
      </c>
      <c r="K8" s="9">
        <v>60</v>
      </c>
      <c r="L8" s="9">
        <v>22</v>
      </c>
      <c r="M8" s="9">
        <v>28</v>
      </c>
      <c r="N8" s="9">
        <v>20</v>
      </c>
      <c r="O8" s="9">
        <v>130</v>
      </c>
      <c r="P8" s="9" t="s">
        <v>408</v>
      </c>
      <c r="Q8" s="9" t="s">
        <v>52</v>
      </c>
      <c r="R8" s="9" t="s">
        <v>39</v>
      </c>
    </row>
    <row r="9" spans="1:18">
      <c r="A9" s="9">
        <v>1</v>
      </c>
      <c r="B9" s="9">
        <v>6</v>
      </c>
      <c r="C9" s="9" t="s">
        <v>57</v>
      </c>
      <c r="D9" s="9" t="s">
        <v>58</v>
      </c>
      <c r="E9" s="9">
        <v>1</v>
      </c>
      <c r="F9" s="9">
        <v>5</v>
      </c>
      <c r="G9" s="9">
        <v>20</v>
      </c>
      <c r="H9" s="9"/>
      <c r="I9" s="9" t="s">
        <v>59</v>
      </c>
      <c r="J9" s="9" t="s">
        <v>60</v>
      </c>
      <c r="K9" s="9">
        <v>60</v>
      </c>
      <c r="L9" s="9">
        <v>14</v>
      </c>
      <c r="M9" s="9">
        <v>0</v>
      </c>
      <c r="N9" s="9">
        <v>46</v>
      </c>
      <c r="O9" s="9">
        <v>120</v>
      </c>
      <c r="P9" s="9" t="s">
        <v>406</v>
      </c>
      <c r="Q9" s="9" t="s">
        <v>38</v>
      </c>
      <c r="R9" s="9" t="s">
        <v>39</v>
      </c>
    </row>
    <row r="10" spans="1:18">
      <c r="A10" s="9">
        <v>1</v>
      </c>
      <c r="B10" s="9">
        <v>2</v>
      </c>
      <c r="C10" s="9" t="s">
        <v>40</v>
      </c>
      <c r="D10" s="9" t="s">
        <v>41</v>
      </c>
      <c r="E10" s="9">
        <v>1</v>
      </c>
      <c r="F10" s="9">
        <v>6</v>
      </c>
      <c r="G10" s="9">
        <v>5</v>
      </c>
      <c r="H10" s="9">
        <v>2</v>
      </c>
      <c r="I10" s="9" t="s">
        <v>42</v>
      </c>
      <c r="J10" s="9" t="s">
        <v>43</v>
      </c>
      <c r="K10" s="9">
        <v>45</v>
      </c>
      <c r="L10" s="9">
        <v>21</v>
      </c>
      <c r="M10" s="9">
        <v>36</v>
      </c>
      <c r="N10" s="9">
        <v>18</v>
      </c>
      <c r="O10" s="9">
        <v>120</v>
      </c>
      <c r="P10" s="9" t="s">
        <v>406</v>
      </c>
      <c r="Q10" s="9" t="s">
        <v>38</v>
      </c>
      <c r="R10" s="9" t="s">
        <v>39</v>
      </c>
    </row>
    <row r="11" spans="1:18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</row>
    <row r="12" spans="1:18">
      <c r="A12" s="9">
        <v>3</v>
      </c>
      <c r="B12" s="9">
        <v>2</v>
      </c>
      <c r="C12" s="9" t="s">
        <v>96</v>
      </c>
      <c r="D12" s="9" t="s">
        <v>97</v>
      </c>
      <c r="E12" s="9">
        <v>2</v>
      </c>
      <c r="F12" s="9">
        <v>1</v>
      </c>
      <c r="G12" s="9">
        <v>4</v>
      </c>
      <c r="H12" s="9">
        <v>19</v>
      </c>
      <c r="I12" s="9" t="s">
        <v>98</v>
      </c>
      <c r="J12" s="9" t="s">
        <v>99</v>
      </c>
      <c r="K12" s="9">
        <v>45</v>
      </c>
      <c r="L12" s="9">
        <v>23</v>
      </c>
      <c r="M12" s="9">
        <v>26</v>
      </c>
      <c r="N12" s="9">
        <v>26</v>
      </c>
      <c r="O12" s="9">
        <v>120</v>
      </c>
      <c r="P12" s="9" t="s">
        <v>406</v>
      </c>
      <c r="Q12" s="9" t="s">
        <v>38</v>
      </c>
      <c r="R12" s="9" t="s">
        <v>39</v>
      </c>
    </row>
    <row r="13" spans="1:18">
      <c r="A13" s="9">
        <v>3</v>
      </c>
      <c r="B13" s="9">
        <v>1</v>
      </c>
      <c r="C13" s="9" t="s">
        <v>92</v>
      </c>
      <c r="D13" s="9" t="s">
        <v>93</v>
      </c>
      <c r="E13" s="9">
        <v>2</v>
      </c>
      <c r="F13" s="9">
        <v>1</v>
      </c>
      <c r="G13" s="9"/>
      <c r="H13" s="9"/>
      <c r="I13" s="9" t="s">
        <v>94</v>
      </c>
      <c r="J13" s="9" t="s">
        <v>95</v>
      </c>
      <c r="K13" s="9">
        <v>95</v>
      </c>
      <c r="L13" s="9">
        <v>20</v>
      </c>
      <c r="M13" s="9">
        <v>10</v>
      </c>
      <c r="N13" s="9">
        <v>15</v>
      </c>
      <c r="O13" s="9">
        <v>140</v>
      </c>
      <c r="P13" s="9" t="s">
        <v>407</v>
      </c>
      <c r="Q13" s="9" t="s">
        <v>52</v>
      </c>
      <c r="R13" s="9" t="s">
        <v>39</v>
      </c>
    </row>
    <row r="14" spans="1:18">
      <c r="A14" s="9">
        <v>2</v>
      </c>
      <c r="B14" s="9">
        <v>5</v>
      </c>
      <c r="C14" s="9" t="s">
        <v>81</v>
      </c>
      <c r="D14" s="9" t="s">
        <v>82</v>
      </c>
      <c r="E14" s="9">
        <v>2</v>
      </c>
      <c r="F14" s="9">
        <v>2</v>
      </c>
      <c r="G14" s="9"/>
      <c r="H14" s="9"/>
      <c r="I14" s="9" t="s">
        <v>83</v>
      </c>
      <c r="J14" s="9" t="s">
        <v>84</v>
      </c>
      <c r="K14" s="9">
        <v>53</v>
      </c>
      <c r="L14" s="9">
        <v>10</v>
      </c>
      <c r="M14" s="9">
        <v>20</v>
      </c>
      <c r="N14" s="9">
        <v>37</v>
      </c>
      <c r="O14" s="9">
        <v>120</v>
      </c>
      <c r="P14" s="9" t="s">
        <v>406</v>
      </c>
      <c r="Q14" s="9" t="s">
        <v>52</v>
      </c>
      <c r="R14" s="9" t="s">
        <v>39</v>
      </c>
    </row>
    <row r="15" spans="1:18">
      <c r="A15" s="9">
        <v>2</v>
      </c>
      <c r="B15" s="9">
        <v>6</v>
      </c>
      <c r="C15" s="9" t="s">
        <v>85</v>
      </c>
      <c r="D15" s="9" t="s">
        <v>86</v>
      </c>
      <c r="E15" s="9">
        <v>2</v>
      </c>
      <c r="F15" s="9">
        <v>3</v>
      </c>
      <c r="G15" s="9">
        <v>12</v>
      </c>
      <c r="H15" s="9">
        <v>10</v>
      </c>
      <c r="I15" s="9" t="s">
        <v>87</v>
      </c>
      <c r="J15" s="9" t="s">
        <v>88</v>
      </c>
      <c r="K15" s="9">
        <v>51</v>
      </c>
      <c r="L15" s="9">
        <v>28</v>
      </c>
      <c r="M15" s="9">
        <v>39</v>
      </c>
      <c r="N15" s="9">
        <v>17</v>
      </c>
      <c r="O15" s="9">
        <v>135</v>
      </c>
      <c r="P15" s="9" t="s">
        <v>411</v>
      </c>
      <c r="Q15" s="9" t="s">
        <v>38</v>
      </c>
      <c r="R15" s="9" t="s">
        <v>39</v>
      </c>
    </row>
    <row r="16" spans="1:18">
      <c r="A16" s="9">
        <v>3</v>
      </c>
      <c r="B16" s="9">
        <v>3</v>
      </c>
      <c r="C16" s="9" t="s">
        <v>100</v>
      </c>
      <c r="D16" s="9" t="s">
        <v>101</v>
      </c>
      <c r="E16" s="9">
        <v>2</v>
      </c>
      <c r="F16" s="9">
        <v>4</v>
      </c>
      <c r="G16" s="9">
        <v>17</v>
      </c>
      <c r="H16" s="9">
        <v>15</v>
      </c>
      <c r="I16" s="9" t="s">
        <v>102</v>
      </c>
      <c r="J16" s="9" t="s">
        <v>103</v>
      </c>
      <c r="K16" s="9">
        <v>71</v>
      </c>
      <c r="L16" s="9">
        <v>21</v>
      </c>
      <c r="M16" s="9">
        <v>38</v>
      </c>
      <c r="N16" s="9">
        <v>20</v>
      </c>
      <c r="O16" s="9">
        <v>150</v>
      </c>
      <c r="P16" s="9" t="s">
        <v>413</v>
      </c>
      <c r="Q16" s="9" t="s">
        <v>38</v>
      </c>
      <c r="R16" s="9" t="s">
        <v>39</v>
      </c>
    </row>
    <row r="17" spans="1:18">
      <c r="A17" s="9">
        <v>4</v>
      </c>
      <c r="B17" s="9">
        <v>3</v>
      </c>
      <c r="C17" s="9" t="s">
        <v>128</v>
      </c>
      <c r="D17" s="9" t="s">
        <v>129</v>
      </c>
      <c r="E17" s="9">
        <v>2</v>
      </c>
      <c r="F17" s="9">
        <v>5</v>
      </c>
      <c r="G17" s="9"/>
      <c r="H17" s="9"/>
      <c r="I17" s="9" t="s">
        <v>60</v>
      </c>
      <c r="J17" s="9" t="s">
        <v>60</v>
      </c>
      <c r="K17" s="9">
        <v>74</v>
      </c>
      <c r="L17" s="9">
        <v>0</v>
      </c>
      <c r="M17" s="9">
        <v>0</v>
      </c>
      <c r="N17" s="9">
        <v>46</v>
      </c>
      <c r="O17" s="9">
        <v>120</v>
      </c>
      <c r="P17" s="9" t="s">
        <v>406</v>
      </c>
      <c r="Q17" s="9" t="s">
        <v>38</v>
      </c>
      <c r="R17" s="9" t="s">
        <v>39</v>
      </c>
    </row>
    <row r="18" spans="1:18">
      <c r="A18" s="9">
        <v>3</v>
      </c>
      <c r="B18" s="9">
        <v>5</v>
      </c>
      <c r="C18" s="9" t="s">
        <v>108</v>
      </c>
      <c r="D18" s="9" t="s">
        <v>109</v>
      </c>
      <c r="E18" s="9">
        <v>2</v>
      </c>
      <c r="F18" s="9">
        <v>6</v>
      </c>
      <c r="G18" s="9">
        <v>13</v>
      </c>
      <c r="H18" s="9">
        <v>13</v>
      </c>
      <c r="I18" s="9" t="s">
        <v>110</v>
      </c>
      <c r="J18" s="9" t="s">
        <v>111</v>
      </c>
      <c r="K18" s="9">
        <v>64</v>
      </c>
      <c r="L18" s="9">
        <v>19</v>
      </c>
      <c r="M18" s="9">
        <v>30</v>
      </c>
      <c r="N18" s="9">
        <v>17</v>
      </c>
      <c r="O18" s="9">
        <v>130</v>
      </c>
      <c r="P18" s="9" t="s">
        <v>408</v>
      </c>
      <c r="Q18" s="9" t="s">
        <v>38</v>
      </c>
      <c r="R18" s="9" t="s">
        <v>39</v>
      </c>
    </row>
    <row r="19" spans="1:18">
      <c r="A19" s="9">
        <v>3</v>
      </c>
      <c r="B19" s="9">
        <v>6</v>
      </c>
      <c r="C19" s="9" t="s">
        <v>112</v>
      </c>
      <c r="D19" s="9" t="s">
        <v>113</v>
      </c>
      <c r="E19" s="9">
        <v>2</v>
      </c>
      <c r="F19" s="9">
        <v>7</v>
      </c>
      <c r="G19" s="9">
        <v>10</v>
      </c>
      <c r="H19" s="9">
        <v>11</v>
      </c>
      <c r="I19" s="9" t="s">
        <v>114</v>
      </c>
      <c r="J19" s="9" t="s">
        <v>115</v>
      </c>
      <c r="K19" s="9">
        <v>55</v>
      </c>
      <c r="L19" s="9">
        <v>22</v>
      </c>
      <c r="M19" s="9">
        <v>27</v>
      </c>
      <c r="N19" s="9">
        <v>16</v>
      </c>
      <c r="O19" s="9">
        <v>120</v>
      </c>
      <c r="P19" s="9" t="s">
        <v>406</v>
      </c>
      <c r="Q19" s="9" t="s">
        <v>38</v>
      </c>
      <c r="R19" s="9" t="s">
        <v>39</v>
      </c>
    </row>
    <row r="20" spans="1:18">
      <c r="A20" s="9">
        <v>4</v>
      </c>
      <c r="B20" s="9">
        <v>1</v>
      </c>
      <c r="C20" s="9" t="s">
        <v>120</v>
      </c>
      <c r="D20" s="9" t="s">
        <v>121</v>
      </c>
      <c r="E20" s="9">
        <v>2</v>
      </c>
      <c r="F20" s="9">
        <v>8</v>
      </c>
      <c r="G20" s="9">
        <v>14</v>
      </c>
      <c r="H20" s="9">
        <v>12</v>
      </c>
      <c r="I20" s="9" t="s">
        <v>122</v>
      </c>
      <c r="J20" s="9" t="s">
        <v>123</v>
      </c>
      <c r="K20" s="9">
        <v>73</v>
      </c>
      <c r="L20" s="9">
        <v>22</v>
      </c>
      <c r="M20" s="9">
        <v>25</v>
      </c>
      <c r="N20" s="9">
        <v>20</v>
      </c>
      <c r="O20" s="9">
        <v>140</v>
      </c>
      <c r="P20" s="9" t="s">
        <v>407</v>
      </c>
      <c r="Q20" s="9" t="s">
        <v>38</v>
      </c>
      <c r="R20" s="9" t="s">
        <v>39</v>
      </c>
    </row>
    <row r="21" spans="1:18">
      <c r="A21" s="9">
        <v>4</v>
      </c>
      <c r="B21" s="9">
        <v>2</v>
      </c>
      <c r="C21" s="9" t="s">
        <v>124</v>
      </c>
      <c r="D21" s="9" t="s">
        <v>125</v>
      </c>
      <c r="E21" s="9">
        <v>2</v>
      </c>
      <c r="F21" s="9">
        <v>9</v>
      </c>
      <c r="G21" s="9"/>
      <c r="H21" s="9"/>
      <c r="I21" s="9" t="s">
        <v>126</v>
      </c>
      <c r="J21" s="9" t="s">
        <v>127</v>
      </c>
      <c r="K21" s="9">
        <v>56</v>
      </c>
      <c r="L21" s="9">
        <v>10</v>
      </c>
      <c r="M21" s="9">
        <v>20</v>
      </c>
      <c r="N21" s="9">
        <v>34</v>
      </c>
      <c r="O21" s="9">
        <v>120</v>
      </c>
      <c r="P21" s="9" t="s">
        <v>406</v>
      </c>
      <c r="Q21" s="9" t="s">
        <v>52</v>
      </c>
      <c r="R21" s="9" t="s">
        <v>39</v>
      </c>
    </row>
    <row r="22" spans="1:18">
      <c r="A22" s="9">
        <v>4</v>
      </c>
      <c r="B22" s="9">
        <v>4</v>
      </c>
      <c r="C22" s="9" t="s">
        <v>130</v>
      </c>
      <c r="D22" s="9" t="s">
        <v>131</v>
      </c>
      <c r="E22" s="9">
        <v>3</v>
      </c>
      <c r="F22" s="9" t="s">
        <v>425</v>
      </c>
      <c r="G22" s="9">
        <v>19</v>
      </c>
      <c r="H22" s="9" t="s">
        <v>428</v>
      </c>
      <c r="I22" s="9" t="s">
        <v>132</v>
      </c>
      <c r="J22" s="9" t="s">
        <v>133</v>
      </c>
      <c r="K22" s="9">
        <v>98</v>
      </c>
      <c r="L22" s="9">
        <v>18</v>
      </c>
      <c r="M22" s="9">
        <v>27</v>
      </c>
      <c r="N22" s="9">
        <v>22</v>
      </c>
      <c r="O22" s="9">
        <v>165</v>
      </c>
      <c r="P22" s="9" t="s">
        <v>414</v>
      </c>
      <c r="Q22" s="9" t="s">
        <v>38</v>
      </c>
      <c r="R22" s="9" t="s">
        <v>39</v>
      </c>
    </row>
    <row r="23" spans="1:18">
      <c r="A23" s="9">
        <v>4</v>
      </c>
      <c r="B23" s="9">
        <v>5</v>
      </c>
      <c r="C23" s="9" t="s">
        <v>134</v>
      </c>
      <c r="D23" s="9" t="s">
        <v>135</v>
      </c>
      <c r="E23" s="9">
        <v>3</v>
      </c>
      <c r="F23" s="9" t="s">
        <v>426</v>
      </c>
      <c r="G23" s="9">
        <v>18</v>
      </c>
      <c r="H23" s="9"/>
      <c r="I23" s="9" t="s">
        <v>136</v>
      </c>
      <c r="J23" s="9" t="s">
        <v>60</v>
      </c>
      <c r="K23" s="9">
        <v>96</v>
      </c>
      <c r="L23" s="9">
        <v>25</v>
      </c>
      <c r="M23" s="9">
        <v>0</v>
      </c>
      <c r="N23" s="9">
        <v>34</v>
      </c>
      <c r="O23" s="9">
        <v>155</v>
      </c>
      <c r="P23" s="9" t="s">
        <v>415</v>
      </c>
      <c r="Q23" s="9" t="s">
        <v>38</v>
      </c>
      <c r="R23" s="9" t="s">
        <v>39</v>
      </c>
    </row>
    <row r="24" spans="1:18">
      <c r="A24" s="9">
        <v>4</v>
      </c>
      <c r="B24" s="9">
        <v>6</v>
      </c>
      <c r="C24" s="9" t="s">
        <v>137</v>
      </c>
      <c r="D24" s="9" t="s">
        <v>138</v>
      </c>
      <c r="E24" s="9">
        <v>3</v>
      </c>
      <c r="F24" s="9" t="s">
        <v>427</v>
      </c>
      <c r="G24" s="9"/>
      <c r="H24" s="9"/>
      <c r="I24" s="9" t="s">
        <v>139</v>
      </c>
      <c r="J24" s="9" t="s">
        <v>60</v>
      </c>
      <c r="K24" s="9">
        <v>152</v>
      </c>
      <c r="L24" s="9">
        <v>10</v>
      </c>
      <c r="M24" s="9">
        <v>0</v>
      </c>
      <c r="N24" s="9">
        <v>8</v>
      </c>
      <c r="O24" s="9">
        <v>170</v>
      </c>
      <c r="P24" s="9" t="s">
        <v>405</v>
      </c>
      <c r="Q24" s="9" t="s">
        <v>52</v>
      </c>
      <c r="R24" s="9" t="s">
        <v>39</v>
      </c>
    </row>
    <row r="25" spans="1:18">
      <c r="A25" s="9">
        <v>5</v>
      </c>
      <c r="B25" s="9">
        <v>4</v>
      </c>
      <c r="C25" s="9" t="s">
        <v>149</v>
      </c>
      <c r="D25" s="9" t="s">
        <v>150</v>
      </c>
      <c r="E25" s="9">
        <v>4</v>
      </c>
      <c r="F25" s="9">
        <v>7</v>
      </c>
      <c r="G25" s="9"/>
      <c r="H25" s="9"/>
      <c r="I25" s="9" t="s">
        <v>60</v>
      </c>
      <c r="J25" s="9" t="s">
        <v>60</v>
      </c>
      <c r="K25" s="9">
        <v>71</v>
      </c>
      <c r="L25" s="9">
        <v>0</v>
      </c>
      <c r="M25" s="9">
        <v>0</v>
      </c>
      <c r="N25" s="9">
        <v>49</v>
      </c>
      <c r="O25" s="9">
        <v>120</v>
      </c>
      <c r="P25" s="9" t="s">
        <v>406</v>
      </c>
      <c r="Q25" s="9" t="s">
        <v>38</v>
      </c>
      <c r="R25" s="9" t="s">
        <v>39</v>
      </c>
    </row>
    <row r="26" spans="1:18">
      <c r="A26" s="9">
        <v>2</v>
      </c>
      <c r="B26" s="9">
        <v>3</v>
      </c>
      <c r="C26" s="9" t="s">
        <v>73</v>
      </c>
      <c r="D26" s="9" t="s">
        <v>74</v>
      </c>
      <c r="E26" s="9">
        <v>4</v>
      </c>
      <c r="F26" s="9">
        <v>8</v>
      </c>
      <c r="G26" s="9"/>
      <c r="H26" s="9">
        <v>8</v>
      </c>
      <c r="I26" s="9" t="s">
        <v>75</v>
      </c>
      <c r="J26" s="9" t="s">
        <v>76</v>
      </c>
      <c r="K26" s="9">
        <v>68</v>
      </c>
      <c r="L26" s="9">
        <v>20</v>
      </c>
      <c r="M26" s="9">
        <v>24</v>
      </c>
      <c r="N26" s="9">
        <v>28</v>
      </c>
      <c r="O26" s="9">
        <v>140</v>
      </c>
      <c r="P26" s="9" t="s">
        <v>407</v>
      </c>
      <c r="Q26" s="9" t="s">
        <v>52</v>
      </c>
      <c r="R26" s="9" t="s">
        <v>39</v>
      </c>
    </row>
    <row r="27" spans="1:18">
      <c r="A27" s="9">
        <v>5</v>
      </c>
      <c r="B27" s="9">
        <v>1</v>
      </c>
      <c r="C27" s="9" t="s">
        <v>142</v>
      </c>
      <c r="D27" s="9" t="s">
        <v>143</v>
      </c>
      <c r="E27" s="9">
        <v>4</v>
      </c>
      <c r="F27" s="9" t="s">
        <v>425</v>
      </c>
      <c r="G27" s="9"/>
      <c r="H27" s="9">
        <v>17</v>
      </c>
      <c r="I27" s="9" t="s">
        <v>139</v>
      </c>
      <c r="J27" s="9" t="s">
        <v>144</v>
      </c>
      <c r="K27" s="9">
        <v>76</v>
      </c>
      <c r="L27" s="9">
        <v>10</v>
      </c>
      <c r="M27" s="9">
        <v>29</v>
      </c>
      <c r="N27" s="9">
        <v>25</v>
      </c>
      <c r="O27" s="9">
        <v>140</v>
      </c>
      <c r="P27" s="9" t="s">
        <v>407</v>
      </c>
      <c r="Q27" s="9" t="s">
        <v>52</v>
      </c>
      <c r="R27" s="9" t="s">
        <v>39</v>
      </c>
    </row>
    <row r="28" spans="1:18">
      <c r="A28" s="9">
        <v>5</v>
      </c>
      <c r="B28" s="9">
        <v>2</v>
      </c>
      <c r="C28" s="9" t="s">
        <v>145</v>
      </c>
      <c r="D28" s="9" t="s">
        <v>146</v>
      </c>
      <c r="E28" s="9">
        <v>4</v>
      </c>
      <c r="F28" s="9" t="s">
        <v>426</v>
      </c>
      <c r="G28" s="9"/>
      <c r="H28" s="9"/>
      <c r="I28" s="9" t="s">
        <v>60</v>
      </c>
      <c r="J28" s="9" t="s">
        <v>60</v>
      </c>
      <c r="K28" s="9">
        <v>91</v>
      </c>
      <c r="L28" s="9">
        <v>0</v>
      </c>
      <c r="M28" s="9">
        <v>0</v>
      </c>
      <c r="N28" s="9">
        <v>39</v>
      </c>
      <c r="O28" s="9">
        <v>130</v>
      </c>
      <c r="P28" s="9" t="s">
        <v>408</v>
      </c>
      <c r="Q28" s="9" t="s">
        <v>38</v>
      </c>
      <c r="R28" s="9" t="s">
        <v>39</v>
      </c>
    </row>
    <row r="29" spans="1:18">
      <c r="A29" s="9">
        <v>5</v>
      </c>
      <c r="B29" s="9">
        <v>3</v>
      </c>
      <c r="C29" s="9" t="s">
        <v>147</v>
      </c>
      <c r="D29" s="9" t="s">
        <v>148</v>
      </c>
      <c r="E29" s="9">
        <v>4</v>
      </c>
      <c r="F29" s="9" t="s">
        <v>429</v>
      </c>
      <c r="G29" s="9"/>
      <c r="H29" s="9"/>
      <c r="I29" s="9" t="s">
        <v>60</v>
      </c>
      <c r="J29" s="9" t="s">
        <v>60</v>
      </c>
      <c r="K29" s="9">
        <v>120</v>
      </c>
      <c r="L29" s="9">
        <v>0</v>
      </c>
      <c r="M29" s="9">
        <v>0</v>
      </c>
      <c r="N29" s="9">
        <v>30</v>
      </c>
      <c r="O29" s="9">
        <v>150</v>
      </c>
      <c r="P29" s="9" t="s">
        <v>413</v>
      </c>
      <c r="Q29" s="9" t="s">
        <v>38</v>
      </c>
      <c r="R29" s="9" t="s">
        <v>39</v>
      </c>
    </row>
    <row r="30" spans="1:18">
      <c r="A30" s="9">
        <v>3</v>
      </c>
      <c r="B30" s="9">
        <v>7</v>
      </c>
      <c r="C30" s="9" t="s">
        <v>116</v>
      </c>
      <c r="D30" s="9" t="s">
        <v>117</v>
      </c>
      <c r="E30" s="9"/>
      <c r="F30" s="9"/>
      <c r="G30" s="9">
        <v>15</v>
      </c>
      <c r="H30" s="9">
        <v>14</v>
      </c>
      <c r="I30" s="9" t="s">
        <v>118</v>
      </c>
      <c r="J30" s="9" t="s">
        <v>119</v>
      </c>
      <c r="K30" s="9">
        <v>35</v>
      </c>
      <c r="L30" s="9">
        <v>24</v>
      </c>
      <c r="M30" s="9">
        <v>40</v>
      </c>
      <c r="N30" s="9">
        <v>36</v>
      </c>
      <c r="O30" s="9">
        <v>135</v>
      </c>
      <c r="P30" s="9" t="s">
        <v>411</v>
      </c>
      <c r="Q30" s="9" t="s">
        <v>52</v>
      </c>
      <c r="R30" s="9" t="s">
        <v>39</v>
      </c>
    </row>
    <row r="31" spans="1:18">
      <c r="A31" s="9">
        <v>6</v>
      </c>
      <c r="B31" s="9">
        <v>5</v>
      </c>
      <c r="C31" s="9" t="s">
        <v>176</v>
      </c>
      <c r="D31" s="9" t="s">
        <v>157</v>
      </c>
      <c r="E31" s="9"/>
      <c r="F31" s="9"/>
      <c r="G31" s="9">
        <v>21</v>
      </c>
      <c r="H31" s="9">
        <v>20</v>
      </c>
      <c r="I31" s="9" t="s">
        <v>177</v>
      </c>
      <c r="J31" s="9" t="s">
        <v>178</v>
      </c>
      <c r="K31" s="9">
        <v>30</v>
      </c>
      <c r="L31" s="9">
        <v>26</v>
      </c>
      <c r="M31" s="9">
        <v>42</v>
      </c>
      <c r="N31" s="9">
        <v>60</v>
      </c>
      <c r="O31" s="9">
        <v>158</v>
      </c>
      <c r="P31" s="9" t="s">
        <v>419</v>
      </c>
      <c r="Q31" s="9" t="s">
        <v>52</v>
      </c>
      <c r="R31" s="9" t="s">
        <v>39</v>
      </c>
    </row>
    <row r="32" spans="1:18">
      <c r="A32" s="9">
        <v>3</v>
      </c>
      <c r="B32" s="9">
        <v>4</v>
      </c>
      <c r="C32" s="9" t="s">
        <v>104</v>
      </c>
      <c r="D32" s="9" t="s">
        <v>105</v>
      </c>
      <c r="E32" s="9"/>
      <c r="F32" s="9"/>
      <c r="G32" s="9"/>
      <c r="H32" s="9">
        <v>16</v>
      </c>
      <c r="I32" s="9" t="s">
        <v>106</v>
      </c>
      <c r="J32" s="9" t="s">
        <v>107</v>
      </c>
      <c r="K32" s="9">
        <v>45</v>
      </c>
      <c r="L32" s="9">
        <v>10</v>
      </c>
      <c r="M32" s="9">
        <v>33</v>
      </c>
      <c r="N32" s="9">
        <v>32</v>
      </c>
      <c r="O32" s="9">
        <v>120</v>
      </c>
      <c r="P32" s="9" t="s">
        <v>406</v>
      </c>
      <c r="Q32" s="9" t="s">
        <v>52</v>
      </c>
      <c r="R32" s="9" t="s">
        <v>39</v>
      </c>
    </row>
    <row r="33" spans="1:18">
      <c r="A33" s="9">
        <v>1</v>
      </c>
      <c r="B33" s="9">
        <v>7</v>
      </c>
      <c r="C33" s="9" t="s">
        <v>61</v>
      </c>
      <c r="D33" s="9" t="s">
        <v>62</v>
      </c>
      <c r="E33" s="9"/>
      <c r="F33" s="9"/>
      <c r="G33" s="9"/>
      <c r="H33" s="9"/>
      <c r="I33" s="9" t="s">
        <v>63</v>
      </c>
      <c r="J33" s="9" t="s">
        <v>64</v>
      </c>
      <c r="K33" s="9">
        <v>25</v>
      </c>
      <c r="L33" s="9">
        <v>15</v>
      </c>
      <c r="M33" s="9">
        <v>15</v>
      </c>
      <c r="N33" s="9">
        <v>45</v>
      </c>
      <c r="O33" s="9">
        <v>100</v>
      </c>
      <c r="P33" s="9" t="s">
        <v>409</v>
      </c>
      <c r="Q33" s="9" t="s">
        <v>52</v>
      </c>
      <c r="R33" s="9" t="s">
        <v>39</v>
      </c>
    </row>
    <row r="34" spans="1:18">
      <c r="A34" s="9">
        <v>2</v>
      </c>
      <c r="B34" s="9">
        <v>7</v>
      </c>
      <c r="C34" s="9" t="s">
        <v>61</v>
      </c>
      <c r="D34" s="9" t="s">
        <v>89</v>
      </c>
      <c r="E34" s="9"/>
      <c r="F34" s="9"/>
      <c r="G34" s="9"/>
      <c r="H34" s="9"/>
      <c r="I34" s="9" t="s">
        <v>90</v>
      </c>
      <c r="J34" s="9" t="s">
        <v>91</v>
      </c>
      <c r="K34" s="9">
        <v>30</v>
      </c>
      <c r="L34" s="9">
        <v>15</v>
      </c>
      <c r="M34" s="9">
        <v>15</v>
      </c>
      <c r="N34" s="9">
        <v>30</v>
      </c>
      <c r="O34" s="9">
        <v>90</v>
      </c>
      <c r="P34" s="9" t="s">
        <v>412</v>
      </c>
      <c r="Q34" s="9" t="s">
        <v>52</v>
      </c>
      <c r="R34" s="9" t="s">
        <v>39</v>
      </c>
    </row>
    <row r="35" spans="1:18">
      <c r="A35" s="9">
        <v>4</v>
      </c>
      <c r="B35" s="9">
        <v>7</v>
      </c>
      <c r="C35" s="9" t="s">
        <v>61</v>
      </c>
      <c r="D35" s="9" t="s">
        <v>140</v>
      </c>
      <c r="E35" s="9"/>
      <c r="F35" s="9"/>
      <c r="G35" s="9"/>
      <c r="H35" s="9"/>
      <c r="I35" s="9" t="s">
        <v>141</v>
      </c>
      <c r="J35" s="9" t="s">
        <v>141</v>
      </c>
      <c r="K35" s="9">
        <v>20</v>
      </c>
      <c r="L35" s="9">
        <v>10</v>
      </c>
      <c r="M35" s="9">
        <v>10</v>
      </c>
      <c r="N35" s="9">
        <v>20</v>
      </c>
      <c r="O35" s="9">
        <v>60</v>
      </c>
      <c r="P35" s="9" t="s">
        <v>416</v>
      </c>
      <c r="Q35" s="9" t="s">
        <v>38</v>
      </c>
      <c r="R35" s="9" t="s">
        <v>39</v>
      </c>
    </row>
    <row r="36" spans="1:18">
      <c r="A36" s="9">
        <v>5</v>
      </c>
      <c r="B36" s="9">
        <v>5</v>
      </c>
      <c r="C36" s="9" t="s">
        <v>151</v>
      </c>
      <c r="D36" s="9" t="s">
        <v>152</v>
      </c>
      <c r="E36" s="9"/>
      <c r="F36" s="9"/>
      <c r="G36" s="9"/>
      <c r="H36" s="9"/>
      <c r="I36" s="9" t="s">
        <v>75</v>
      </c>
      <c r="J36" s="9" t="s">
        <v>153</v>
      </c>
      <c r="K36" s="9">
        <v>30</v>
      </c>
      <c r="L36" s="9">
        <v>20</v>
      </c>
      <c r="M36" s="9">
        <v>76</v>
      </c>
      <c r="N36" s="9">
        <v>34</v>
      </c>
      <c r="O36" s="9">
        <v>160</v>
      </c>
      <c r="P36" s="9" t="s">
        <v>417</v>
      </c>
      <c r="Q36" s="9" t="s">
        <v>52</v>
      </c>
      <c r="R36" s="9" t="s">
        <v>39</v>
      </c>
    </row>
    <row r="37" spans="1:18">
      <c r="A37" s="9">
        <v>5</v>
      </c>
      <c r="B37" s="9">
        <v>6</v>
      </c>
      <c r="C37" s="9" t="s">
        <v>154</v>
      </c>
      <c r="D37" s="9" t="s">
        <v>155</v>
      </c>
      <c r="E37" s="9"/>
      <c r="F37" s="9"/>
      <c r="G37" s="9"/>
      <c r="H37" s="9"/>
      <c r="I37" s="9" t="s">
        <v>60</v>
      </c>
      <c r="J37" s="9" t="s">
        <v>60</v>
      </c>
      <c r="K37" s="9">
        <v>0</v>
      </c>
      <c r="L37" s="9">
        <v>0</v>
      </c>
      <c r="M37" s="9">
        <v>0</v>
      </c>
      <c r="N37" s="9">
        <v>130</v>
      </c>
      <c r="O37" s="9">
        <v>130</v>
      </c>
      <c r="P37" s="9" t="s">
        <v>408</v>
      </c>
      <c r="Q37" s="9" t="s">
        <v>38</v>
      </c>
      <c r="R37" s="9" t="s">
        <v>39</v>
      </c>
    </row>
    <row r="38" spans="1:18">
      <c r="A38" s="9">
        <v>5</v>
      </c>
      <c r="B38" s="9">
        <v>7</v>
      </c>
      <c r="C38" s="9" t="s">
        <v>156</v>
      </c>
      <c r="D38" s="9" t="s">
        <v>157</v>
      </c>
      <c r="E38" s="9"/>
      <c r="F38" s="9"/>
      <c r="G38" s="9"/>
      <c r="H38" s="9"/>
      <c r="I38" s="9" t="s">
        <v>158</v>
      </c>
      <c r="J38" s="9" t="s">
        <v>159</v>
      </c>
      <c r="K38" s="9">
        <v>0</v>
      </c>
      <c r="L38" s="9">
        <v>0</v>
      </c>
      <c r="M38" s="9">
        <v>0</v>
      </c>
      <c r="N38" s="9">
        <v>90</v>
      </c>
      <c r="O38" s="9">
        <v>90</v>
      </c>
      <c r="P38" s="9" t="s">
        <v>412</v>
      </c>
      <c r="Q38" s="9" t="s">
        <v>52</v>
      </c>
      <c r="R38" s="9" t="s">
        <v>39</v>
      </c>
    </row>
    <row r="39" spans="1:18">
      <c r="A39" s="9">
        <v>6</v>
      </c>
      <c r="B39" s="9">
        <v>1</v>
      </c>
      <c r="C39" s="9" t="s">
        <v>160</v>
      </c>
      <c r="D39" s="9" t="s">
        <v>161</v>
      </c>
      <c r="E39" s="9"/>
      <c r="F39" s="9"/>
      <c r="G39" s="9"/>
      <c r="H39" s="9"/>
      <c r="I39" s="9" t="s">
        <v>162</v>
      </c>
      <c r="J39" s="9" t="s">
        <v>163</v>
      </c>
      <c r="K39" s="9">
        <v>30</v>
      </c>
      <c r="L39" s="9">
        <v>30</v>
      </c>
      <c r="M39" s="9">
        <v>30</v>
      </c>
      <c r="N39" s="9">
        <v>60</v>
      </c>
      <c r="O39" s="9">
        <v>150</v>
      </c>
      <c r="P39" s="9" t="s">
        <v>413</v>
      </c>
      <c r="Q39" s="9" t="s">
        <v>52</v>
      </c>
      <c r="R39" s="9" t="s">
        <v>39</v>
      </c>
    </row>
    <row r="40" spans="1:18">
      <c r="A40" s="9">
        <v>6</v>
      </c>
      <c r="B40" s="9">
        <v>2</v>
      </c>
      <c r="C40" s="9" t="s">
        <v>164</v>
      </c>
      <c r="D40" s="9" t="s">
        <v>165</v>
      </c>
      <c r="E40" s="9"/>
      <c r="F40" s="9"/>
      <c r="G40" s="9"/>
      <c r="H40" s="9"/>
      <c r="I40" s="9" t="s">
        <v>166</v>
      </c>
      <c r="J40" s="9" t="s">
        <v>167</v>
      </c>
      <c r="K40" s="9">
        <v>30</v>
      </c>
      <c r="L40" s="9">
        <v>45</v>
      </c>
      <c r="M40" s="9">
        <v>45</v>
      </c>
      <c r="N40" s="9">
        <v>60</v>
      </c>
      <c r="O40" s="9">
        <v>180</v>
      </c>
      <c r="P40" s="9" t="s">
        <v>418</v>
      </c>
      <c r="Q40" s="9" t="s">
        <v>52</v>
      </c>
      <c r="R40" s="9" t="s">
        <v>39</v>
      </c>
    </row>
    <row r="41" spans="1:18">
      <c r="A41" s="9">
        <v>6</v>
      </c>
      <c r="B41" s="9">
        <v>3</v>
      </c>
      <c r="C41" s="9" t="s">
        <v>168</v>
      </c>
      <c r="D41" s="9" t="s">
        <v>169</v>
      </c>
      <c r="E41" s="9"/>
      <c r="F41" s="9"/>
      <c r="G41" s="9"/>
      <c r="H41" s="9"/>
      <c r="I41" s="9" t="s">
        <v>170</v>
      </c>
      <c r="J41" s="9" t="s">
        <v>171</v>
      </c>
      <c r="K41" s="9">
        <v>30</v>
      </c>
      <c r="L41" s="9">
        <v>20</v>
      </c>
      <c r="M41" s="9">
        <v>20</v>
      </c>
      <c r="N41" s="9">
        <v>50</v>
      </c>
      <c r="O41" s="9">
        <v>120</v>
      </c>
      <c r="P41" s="9" t="s">
        <v>406</v>
      </c>
      <c r="Q41" s="9" t="s">
        <v>52</v>
      </c>
      <c r="R41" s="9" t="s">
        <v>39</v>
      </c>
    </row>
    <row r="42" spans="1:18">
      <c r="A42" s="9">
        <v>6</v>
      </c>
      <c r="B42" s="9">
        <v>4</v>
      </c>
      <c r="C42" s="9" t="s">
        <v>172</v>
      </c>
      <c r="D42" s="9" t="s">
        <v>173</v>
      </c>
      <c r="E42" s="9"/>
      <c r="F42" s="9"/>
      <c r="G42" s="9"/>
      <c r="H42" s="9"/>
      <c r="I42" s="9" t="s">
        <v>174</v>
      </c>
      <c r="J42" s="9" t="s">
        <v>175</v>
      </c>
      <c r="K42" s="9">
        <v>40</v>
      </c>
      <c r="L42" s="9">
        <v>30</v>
      </c>
      <c r="M42" s="9">
        <v>30</v>
      </c>
      <c r="N42" s="9">
        <v>50</v>
      </c>
      <c r="O42" s="9">
        <v>150</v>
      </c>
      <c r="P42" s="9" t="s">
        <v>413</v>
      </c>
      <c r="Q42" s="9" t="s">
        <v>52</v>
      </c>
      <c r="R42" s="9" t="s">
        <v>39</v>
      </c>
    </row>
    <row r="43" spans="1:18">
      <c r="A43" s="9">
        <v>6</v>
      </c>
      <c r="B43" s="9">
        <v>6</v>
      </c>
      <c r="C43" s="9" t="s">
        <v>179</v>
      </c>
      <c r="D43" s="9" t="s">
        <v>180</v>
      </c>
      <c r="E43" s="9"/>
      <c r="F43" s="9"/>
      <c r="G43" s="9"/>
      <c r="H43" s="9"/>
      <c r="I43" s="9" t="s">
        <v>60</v>
      </c>
      <c r="J43" s="9" t="s">
        <v>60</v>
      </c>
      <c r="K43" s="9">
        <v>60</v>
      </c>
      <c r="L43" s="9">
        <v>0</v>
      </c>
      <c r="M43" s="9">
        <v>0</v>
      </c>
      <c r="N43" s="9">
        <v>67</v>
      </c>
      <c r="O43" s="9">
        <v>127</v>
      </c>
      <c r="P43" s="9" t="s">
        <v>420</v>
      </c>
      <c r="Q43" s="9" t="s">
        <v>52</v>
      </c>
      <c r="R43" s="9" t="s">
        <v>39</v>
      </c>
    </row>
    <row r="44" spans="1:18">
      <c r="A44" s="9">
        <v>6</v>
      </c>
      <c r="B44" s="9">
        <v>7</v>
      </c>
      <c r="C44" s="9" t="s">
        <v>181</v>
      </c>
      <c r="D44" s="9" t="s">
        <v>182</v>
      </c>
      <c r="E44" s="9"/>
      <c r="F44" s="9"/>
      <c r="G44" s="9"/>
      <c r="H44" s="9"/>
      <c r="I44" s="9" t="s">
        <v>60</v>
      </c>
      <c r="J44" s="9" t="s">
        <v>60</v>
      </c>
      <c r="K44" s="9">
        <v>0</v>
      </c>
      <c r="L44" s="9">
        <v>0</v>
      </c>
      <c r="M44" s="9">
        <v>0</v>
      </c>
      <c r="N44" s="9">
        <v>20</v>
      </c>
      <c r="O44" s="9">
        <v>20</v>
      </c>
      <c r="P44" s="9" t="s">
        <v>421</v>
      </c>
      <c r="Q44" s="9" t="s">
        <v>52</v>
      </c>
      <c r="R44" s="9" t="s">
        <v>39</v>
      </c>
    </row>
  </sheetData>
  <sortState xmlns:xlrd2="http://schemas.microsoft.com/office/spreadsheetml/2017/richdata2" ref="A2:R44">
    <sortCondition ref="E2:E44"/>
    <sortCondition ref="F2:F44"/>
    <sortCondition ref="G2:G44"/>
    <sortCondition ref="H2:H44"/>
  </sortState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7417-8CF2-44FA-AA3F-F566B8BA0641}">
  <dimension ref="B1:M84"/>
  <sheetViews>
    <sheetView tabSelected="1" workbookViewId="0">
      <selection activeCell="B13" sqref="B13:D20"/>
    </sheetView>
  </sheetViews>
  <sheetFormatPr defaultRowHeight="14.25"/>
  <cols>
    <col min="4" max="4" width="11.875" bestFit="1" customWidth="1"/>
    <col min="7" max="7" width="4.125" style="16" bestFit="1" customWidth="1"/>
    <col min="8" max="8" width="14.125" style="16" bestFit="1" customWidth="1"/>
    <col min="9" max="9" width="7" style="16" bestFit="1" customWidth="1"/>
    <col min="10" max="10" width="4.125" style="17" customWidth="1"/>
    <col min="11" max="11" width="64.25" style="16" bestFit="1" customWidth="1"/>
    <col min="12" max="12" width="6" style="16" bestFit="1" customWidth="1"/>
    <col min="13" max="13" width="9" style="16"/>
  </cols>
  <sheetData>
    <row r="1" spans="2:13">
      <c r="G1" s="16" t="s">
        <v>532</v>
      </c>
      <c r="H1" s="16" t="s">
        <v>432</v>
      </c>
      <c r="I1" s="16" t="s">
        <v>433</v>
      </c>
      <c r="K1" s="16" t="s">
        <v>434</v>
      </c>
      <c r="L1" s="16" t="s">
        <v>533</v>
      </c>
    </row>
    <row r="2" spans="2:13">
      <c r="G2" s="18">
        <v>1</v>
      </c>
      <c r="H2" s="18" t="s">
        <v>438</v>
      </c>
      <c r="I2" s="18" t="s">
        <v>439</v>
      </c>
      <c r="J2" s="19">
        <v>1.1000000000000001</v>
      </c>
      <c r="K2" s="18" t="s">
        <v>440</v>
      </c>
      <c r="L2" s="18" t="s">
        <v>416</v>
      </c>
      <c r="M2" s="16">
        <v>1</v>
      </c>
    </row>
    <row r="3" spans="2:13">
      <c r="G3" s="26">
        <v>2</v>
      </c>
      <c r="H3" s="26" t="s">
        <v>504</v>
      </c>
      <c r="I3" s="26" t="s">
        <v>204</v>
      </c>
      <c r="J3" s="27" t="s">
        <v>204</v>
      </c>
      <c r="K3" s="26" t="s">
        <v>205</v>
      </c>
      <c r="L3" s="26" t="s">
        <v>534</v>
      </c>
      <c r="M3" s="16">
        <v>1</v>
      </c>
    </row>
    <row r="4" spans="2:13">
      <c r="G4" s="26">
        <v>3</v>
      </c>
      <c r="H4" s="26" t="s">
        <v>504</v>
      </c>
      <c r="I4" s="26" t="s">
        <v>195</v>
      </c>
      <c r="J4" s="27" t="s">
        <v>195</v>
      </c>
      <c r="K4" s="26" t="s">
        <v>196</v>
      </c>
      <c r="L4" s="26" t="s">
        <v>535</v>
      </c>
      <c r="M4" s="16">
        <v>1</v>
      </c>
    </row>
    <row r="5" spans="2:13">
      <c r="G5" s="26">
        <v>4</v>
      </c>
      <c r="H5" s="26" t="s">
        <v>504</v>
      </c>
      <c r="I5" s="26" t="s">
        <v>201</v>
      </c>
      <c r="J5" s="27" t="s">
        <v>201</v>
      </c>
      <c r="K5" s="26" t="s">
        <v>505</v>
      </c>
      <c r="L5" s="26" t="s">
        <v>536</v>
      </c>
      <c r="M5" s="16">
        <v>1</v>
      </c>
    </row>
    <row r="6" spans="2:13">
      <c r="G6" s="28">
        <v>5</v>
      </c>
      <c r="H6" s="28" t="s">
        <v>508</v>
      </c>
      <c r="I6" s="28" t="s">
        <v>289</v>
      </c>
      <c r="J6" s="29" t="s">
        <v>289</v>
      </c>
      <c r="K6" s="28" t="s">
        <v>290</v>
      </c>
      <c r="L6" s="28" t="s">
        <v>536</v>
      </c>
      <c r="M6" s="16">
        <v>1</v>
      </c>
    </row>
    <row r="7" spans="2:13">
      <c r="G7" s="18">
        <v>6</v>
      </c>
      <c r="H7" s="18" t="s">
        <v>438</v>
      </c>
      <c r="I7" s="18" t="s">
        <v>448</v>
      </c>
      <c r="J7" s="19">
        <v>1.6</v>
      </c>
      <c r="K7" s="18" t="s">
        <v>449</v>
      </c>
      <c r="L7" s="18" t="s">
        <v>537</v>
      </c>
    </row>
    <row r="8" spans="2:13">
      <c r="G8" s="26">
        <v>7</v>
      </c>
      <c r="H8" s="26" t="s">
        <v>504</v>
      </c>
      <c r="I8" s="26" t="s">
        <v>213</v>
      </c>
      <c r="J8" s="27" t="s">
        <v>213</v>
      </c>
      <c r="K8" s="26" t="s">
        <v>214</v>
      </c>
      <c r="L8" s="26" t="s">
        <v>538</v>
      </c>
    </row>
    <row r="9" spans="2:13">
      <c r="G9" s="28">
        <v>8</v>
      </c>
      <c r="H9" s="28" t="s">
        <v>508</v>
      </c>
      <c r="I9" s="28" t="s">
        <v>293</v>
      </c>
      <c r="J9" s="29" t="s">
        <v>293</v>
      </c>
      <c r="K9" s="28" t="s">
        <v>509</v>
      </c>
      <c r="L9" s="28" t="s">
        <v>539</v>
      </c>
    </row>
    <row r="10" spans="2:13">
      <c r="G10" s="18">
        <v>9</v>
      </c>
      <c r="H10" s="18" t="s">
        <v>438</v>
      </c>
      <c r="I10" s="18" t="s">
        <v>441</v>
      </c>
      <c r="J10" s="19">
        <v>1.2</v>
      </c>
      <c r="K10" s="18" t="s">
        <v>540</v>
      </c>
      <c r="L10" s="18" t="s">
        <v>541</v>
      </c>
      <c r="M10" s="16">
        <v>1</v>
      </c>
    </row>
    <row r="11" spans="2:13">
      <c r="G11" s="26">
        <v>10</v>
      </c>
      <c r="H11" s="26" t="s">
        <v>504</v>
      </c>
      <c r="I11" s="26" t="s">
        <v>217</v>
      </c>
      <c r="J11" s="27" t="s">
        <v>217</v>
      </c>
      <c r="K11" s="26" t="s">
        <v>542</v>
      </c>
      <c r="L11" s="26" t="s">
        <v>538</v>
      </c>
    </row>
    <row r="12" spans="2:13">
      <c r="B12" s="17"/>
      <c r="C12" s="17"/>
      <c r="G12" s="28">
        <v>11</v>
      </c>
      <c r="H12" s="28" t="s">
        <v>508</v>
      </c>
      <c r="I12" s="28" t="s">
        <v>299</v>
      </c>
      <c r="J12" s="29" t="s">
        <v>299</v>
      </c>
      <c r="K12" s="28" t="s">
        <v>300</v>
      </c>
      <c r="L12" s="28" t="s">
        <v>543</v>
      </c>
    </row>
    <row r="13" spans="2:13">
      <c r="B13" s="31" t="s">
        <v>586</v>
      </c>
      <c r="C13" s="17"/>
      <c r="G13" s="28">
        <v>12</v>
      </c>
      <c r="H13" s="28" t="s">
        <v>508</v>
      </c>
      <c r="I13" s="28" t="s">
        <v>302</v>
      </c>
      <c r="J13" s="29" t="s">
        <v>302</v>
      </c>
      <c r="K13" s="28" t="s">
        <v>303</v>
      </c>
      <c r="L13" s="28" t="s">
        <v>544</v>
      </c>
    </row>
    <row r="14" spans="2:13">
      <c r="B14" s="31" t="s">
        <v>587</v>
      </c>
      <c r="C14" s="17"/>
      <c r="G14" s="18">
        <v>13</v>
      </c>
      <c r="H14" s="18" t="s">
        <v>438</v>
      </c>
      <c r="I14" s="18" t="s">
        <v>442</v>
      </c>
      <c r="J14" s="19">
        <v>1.3</v>
      </c>
      <c r="K14" s="18" t="s">
        <v>443</v>
      </c>
      <c r="L14" s="18" t="s">
        <v>545</v>
      </c>
      <c r="M14" s="16">
        <v>1</v>
      </c>
    </row>
    <row r="15" spans="2:13">
      <c r="B15" s="17"/>
      <c r="C15" s="17"/>
      <c r="G15" s="26">
        <v>14</v>
      </c>
      <c r="H15" s="26" t="s">
        <v>504</v>
      </c>
      <c r="I15" s="26" t="s">
        <v>230</v>
      </c>
      <c r="J15" s="27" t="s">
        <v>230</v>
      </c>
      <c r="K15" s="26" t="s">
        <v>231</v>
      </c>
      <c r="L15" s="26" t="s">
        <v>546</v>
      </c>
    </row>
    <row r="16" spans="2:13">
      <c r="B16" s="27" t="s">
        <v>213</v>
      </c>
      <c r="C16" s="27" t="s">
        <v>217</v>
      </c>
      <c r="G16" s="26">
        <v>15</v>
      </c>
      <c r="H16" s="26" t="s">
        <v>504</v>
      </c>
      <c r="I16" s="26" t="s">
        <v>281</v>
      </c>
      <c r="J16" s="27" t="s">
        <v>281</v>
      </c>
      <c r="K16" s="26" t="s">
        <v>282</v>
      </c>
      <c r="L16" s="26" t="s">
        <v>547</v>
      </c>
    </row>
    <row r="17" spans="2:12">
      <c r="B17" s="29" t="s">
        <v>293</v>
      </c>
      <c r="C17" s="29" t="s">
        <v>299</v>
      </c>
      <c r="G17" s="28">
        <v>16</v>
      </c>
      <c r="H17" s="28" t="s">
        <v>508</v>
      </c>
      <c r="I17" s="28" t="s">
        <v>296</v>
      </c>
      <c r="J17" s="29" t="s">
        <v>296</v>
      </c>
      <c r="K17" s="28" t="s">
        <v>297</v>
      </c>
      <c r="L17" s="28" t="s">
        <v>543</v>
      </c>
    </row>
    <row r="18" spans="2:12">
      <c r="G18" s="18">
        <v>17</v>
      </c>
      <c r="H18" s="18" t="s">
        <v>438</v>
      </c>
      <c r="I18" s="18" t="s">
        <v>446</v>
      </c>
      <c r="J18" s="19">
        <v>1.5</v>
      </c>
      <c r="K18" s="18" t="s">
        <v>447</v>
      </c>
      <c r="L18" s="18" t="s">
        <v>548</v>
      </c>
    </row>
    <row r="19" spans="2:12">
      <c r="B19" s="29" t="s">
        <v>296</v>
      </c>
      <c r="C19" s="28" t="s">
        <v>297</v>
      </c>
      <c r="G19" s="26">
        <v>18</v>
      </c>
      <c r="H19" s="26" t="s">
        <v>504</v>
      </c>
      <c r="I19" s="26" t="s">
        <v>220</v>
      </c>
      <c r="J19" s="27" t="s">
        <v>220</v>
      </c>
      <c r="K19" s="26" t="s">
        <v>221</v>
      </c>
      <c r="L19" s="26" t="s">
        <v>549</v>
      </c>
    </row>
    <row r="20" spans="2:12">
      <c r="B20" s="29" t="s">
        <v>302</v>
      </c>
      <c r="C20" s="28" t="s">
        <v>303</v>
      </c>
      <c r="G20" s="28">
        <v>19</v>
      </c>
      <c r="H20" s="28" t="s">
        <v>508</v>
      </c>
      <c r="I20" s="28" t="s">
        <v>305</v>
      </c>
      <c r="J20" s="29" t="s">
        <v>305</v>
      </c>
      <c r="K20" s="28" t="s">
        <v>550</v>
      </c>
      <c r="L20" s="28" t="s">
        <v>536</v>
      </c>
    </row>
    <row r="21" spans="2:12">
      <c r="G21" s="28">
        <v>20</v>
      </c>
      <c r="H21" s="28" t="s">
        <v>508</v>
      </c>
      <c r="I21" s="28" t="s">
        <v>308</v>
      </c>
      <c r="J21" s="29" t="s">
        <v>308</v>
      </c>
      <c r="K21" s="28" t="s">
        <v>551</v>
      </c>
      <c r="L21" s="28" t="s">
        <v>535</v>
      </c>
    </row>
    <row r="22" spans="2:12">
      <c r="G22" s="24">
        <v>21</v>
      </c>
      <c r="H22" s="24" t="s">
        <v>438</v>
      </c>
      <c r="I22" s="24" t="s">
        <v>502</v>
      </c>
      <c r="J22" s="25">
        <v>4.8</v>
      </c>
      <c r="K22" s="24" t="s">
        <v>503</v>
      </c>
      <c r="L22" s="24" t="s">
        <v>552</v>
      </c>
    </row>
    <row r="23" spans="2:12">
      <c r="G23" s="26">
        <v>22</v>
      </c>
      <c r="H23" s="26" t="s">
        <v>504</v>
      </c>
      <c r="I23" s="26" t="s">
        <v>225</v>
      </c>
      <c r="J23" s="27" t="s">
        <v>225</v>
      </c>
      <c r="K23" s="26" t="s">
        <v>553</v>
      </c>
      <c r="L23" s="26" t="s">
        <v>554</v>
      </c>
    </row>
    <row r="24" spans="2:12">
      <c r="G24" s="28">
        <v>23</v>
      </c>
      <c r="H24" s="28" t="s">
        <v>508</v>
      </c>
      <c r="I24" s="28" t="s">
        <v>311</v>
      </c>
      <c r="J24" s="29" t="s">
        <v>311</v>
      </c>
      <c r="K24" s="28" t="s">
        <v>555</v>
      </c>
      <c r="L24" s="28" t="s">
        <v>536</v>
      </c>
    </row>
    <row r="25" spans="2:12">
      <c r="G25" s="18">
        <v>24</v>
      </c>
      <c r="H25" s="18" t="s">
        <v>438</v>
      </c>
      <c r="I25" s="18" t="s">
        <v>444</v>
      </c>
      <c r="J25" s="19">
        <v>1.4</v>
      </c>
      <c r="K25" s="18" t="s">
        <v>445</v>
      </c>
      <c r="L25" s="18" t="s">
        <v>416</v>
      </c>
    </row>
    <row r="26" spans="2:12">
      <c r="G26" s="26">
        <v>25</v>
      </c>
      <c r="H26" s="26" t="s">
        <v>504</v>
      </c>
      <c r="I26" s="26" t="s">
        <v>240</v>
      </c>
      <c r="J26" s="27" t="s">
        <v>240</v>
      </c>
      <c r="K26" s="26" t="s">
        <v>241</v>
      </c>
      <c r="L26" s="26" t="s">
        <v>538</v>
      </c>
    </row>
    <row r="27" spans="2:12">
      <c r="G27" s="28">
        <v>26</v>
      </c>
      <c r="H27" s="28" t="s">
        <v>508</v>
      </c>
      <c r="I27" s="28" t="s">
        <v>315</v>
      </c>
      <c r="J27" s="29" t="s">
        <v>315</v>
      </c>
      <c r="K27" s="28" t="s">
        <v>316</v>
      </c>
      <c r="L27" s="28" t="s">
        <v>556</v>
      </c>
    </row>
    <row r="28" spans="2:12">
      <c r="G28" s="20">
        <v>27</v>
      </c>
      <c r="H28" s="20" t="s">
        <v>438</v>
      </c>
      <c r="I28" s="20" t="s">
        <v>452</v>
      </c>
      <c r="J28" s="21">
        <v>2.1</v>
      </c>
      <c r="K28" s="20" t="s">
        <v>453</v>
      </c>
      <c r="L28" s="20" t="s">
        <v>557</v>
      </c>
    </row>
    <row r="29" spans="2:12">
      <c r="G29" s="20">
        <v>28</v>
      </c>
      <c r="H29" s="20" t="s">
        <v>438</v>
      </c>
      <c r="I29" s="20" t="s">
        <v>454</v>
      </c>
      <c r="J29" s="21">
        <v>2.2000000000000002</v>
      </c>
      <c r="K29" s="20" t="s">
        <v>455</v>
      </c>
      <c r="L29" s="20" t="s">
        <v>545</v>
      </c>
    </row>
    <row r="30" spans="2:12">
      <c r="G30" s="20">
        <v>29</v>
      </c>
      <c r="H30" s="20" t="s">
        <v>438</v>
      </c>
      <c r="I30" s="20" t="s">
        <v>456</v>
      </c>
      <c r="J30" s="21">
        <v>2.2999999999999998</v>
      </c>
      <c r="K30" s="20" t="s">
        <v>457</v>
      </c>
      <c r="L30" s="20" t="s">
        <v>558</v>
      </c>
    </row>
    <row r="31" spans="2:12">
      <c r="G31" s="26">
        <v>30</v>
      </c>
      <c r="H31" s="26" t="s">
        <v>504</v>
      </c>
      <c r="I31" s="26" t="s">
        <v>245</v>
      </c>
      <c r="J31" s="27" t="s">
        <v>245</v>
      </c>
      <c r="K31" s="26" t="s">
        <v>559</v>
      </c>
      <c r="L31" s="26" t="s">
        <v>535</v>
      </c>
    </row>
    <row r="32" spans="2:12">
      <c r="G32" s="28">
        <v>31</v>
      </c>
      <c r="H32" s="28" t="s">
        <v>508</v>
      </c>
      <c r="I32" s="28" t="s">
        <v>317</v>
      </c>
      <c r="J32" s="29" t="s">
        <v>317</v>
      </c>
      <c r="K32" s="28" t="s">
        <v>559</v>
      </c>
      <c r="L32" s="28" t="s">
        <v>543</v>
      </c>
    </row>
    <row r="33" spans="7:12">
      <c r="G33" s="20">
        <v>32</v>
      </c>
      <c r="H33" s="20" t="s">
        <v>438</v>
      </c>
      <c r="I33" s="20" t="s">
        <v>458</v>
      </c>
      <c r="J33" s="21">
        <v>2.4</v>
      </c>
      <c r="K33" s="20" t="s">
        <v>459</v>
      </c>
      <c r="L33" s="20" t="s">
        <v>560</v>
      </c>
    </row>
    <row r="34" spans="7:12">
      <c r="G34" s="26">
        <v>33</v>
      </c>
      <c r="H34" s="26" t="s">
        <v>504</v>
      </c>
      <c r="I34" s="26" t="s">
        <v>267</v>
      </c>
      <c r="J34" s="27" t="s">
        <v>267</v>
      </c>
      <c r="K34" s="26" t="s">
        <v>268</v>
      </c>
      <c r="L34" s="26" t="s">
        <v>538</v>
      </c>
    </row>
    <row r="35" spans="7:12">
      <c r="G35" s="28">
        <v>34</v>
      </c>
      <c r="H35" s="28" t="s">
        <v>508</v>
      </c>
      <c r="I35" s="28" t="s">
        <v>333</v>
      </c>
      <c r="J35" s="29" t="s">
        <v>333</v>
      </c>
      <c r="K35" s="28" t="s">
        <v>561</v>
      </c>
      <c r="L35" s="28" t="s">
        <v>562</v>
      </c>
    </row>
    <row r="36" spans="7:12">
      <c r="G36" s="28">
        <v>35</v>
      </c>
      <c r="H36" s="28" t="s">
        <v>508</v>
      </c>
      <c r="I36" s="28" t="s">
        <v>337</v>
      </c>
      <c r="J36" s="29" t="s">
        <v>337</v>
      </c>
      <c r="K36" s="28" t="s">
        <v>563</v>
      </c>
      <c r="L36" s="28" t="s">
        <v>564</v>
      </c>
    </row>
    <row r="37" spans="7:12">
      <c r="G37" s="20">
        <v>36</v>
      </c>
      <c r="H37" s="20" t="s">
        <v>438</v>
      </c>
      <c r="I37" s="20" t="s">
        <v>462</v>
      </c>
      <c r="J37" s="21">
        <v>2.6</v>
      </c>
      <c r="K37" s="20" t="s">
        <v>463</v>
      </c>
      <c r="L37" s="20" t="s">
        <v>565</v>
      </c>
    </row>
    <row r="38" spans="7:12">
      <c r="G38" s="26">
        <v>37</v>
      </c>
      <c r="H38" s="26" t="s">
        <v>504</v>
      </c>
      <c r="I38" s="26" t="s">
        <v>249</v>
      </c>
      <c r="J38" s="27" t="s">
        <v>249</v>
      </c>
      <c r="K38" s="26" t="s">
        <v>327</v>
      </c>
      <c r="L38" s="26" t="s">
        <v>546</v>
      </c>
    </row>
    <row r="39" spans="7:12">
      <c r="G39" s="26">
        <v>38</v>
      </c>
      <c r="H39" s="26" t="s">
        <v>504</v>
      </c>
      <c r="I39" s="26" t="s">
        <v>254</v>
      </c>
      <c r="J39" s="27" t="s">
        <v>254</v>
      </c>
      <c r="K39" s="26" t="s">
        <v>566</v>
      </c>
      <c r="L39" s="26" t="s">
        <v>554</v>
      </c>
    </row>
    <row r="40" spans="7:12">
      <c r="G40" s="28">
        <v>39</v>
      </c>
      <c r="H40" s="28" t="s">
        <v>508</v>
      </c>
      <c r="I40" s="28" t="s">
        <v>326</v>
      </c>
      <c r="J40" s="29" t="s">
        <v>326</v>
      </c>
      <c r="K40" s="28" t="s">
        <v>327</v>
      </c>
      <c r="L40" s="28" t="s">
        <v>567</v>
      </c>
    </row>
    <row r="41" spans="7:12">
      <c r="G41" s="20">
        <v>40</v>
      </c>
      <c r="H41" s="20" t="s">
        <v>438</v>
      </c>
      <c r="I41" s="20" t="s">
        <v>464</v>
      </c>
      <c r="J41" s="21">
        <v>2.7</v>
      </c>
      <c r="K41" s="20" t="s">
        <v>465</v>
      </c>
      <c r="L41" s="20" t="s">
        <v>568</v>
      </c>
    </row>
    <row r="42" spans="7:12">
      <c r="G42" s="26">
        <v>41</v>
      </c>
      <c r="H42" s="26" t="s">
        <v>504</v>
      </c>
      <c r="I42" s="26" t="s">
        <v>235</v>
      </c>
      <c r="J42" s="27" t="s">
        <v>235</v>
      </c>
      <c r="K42" s="26" t="s">
        <v>236</v>
      </c>
      <c r="L42" s="26" t="s">
        <v>554</v>
      </c>
    </row>
    <row r="43" spans="7:12">
      <c r="G43" s="28">
        <v>42</v>
      </c>
      <c r="H43" s="28" t="s">
        <v>508</v>
      </c>
      <c r="I43" s="28" t="s">
        <v>320</v>
      </c>
      <c r="J43" s="29" t="s">
        <v>320</v>
      </c>
      <c r="K43" s="28" t="s">
        <v>513</v>
      </c>
      <c r="L43" s="28" t="s">
        <v>569</v>
      </c>
    </row>
    <row r="44" spans="7:12">
      <c r="G44" s="20">
        <v>43</v>
      </c>
      <c r="H44" s="20" t="s">
        <v>438</v>
      </c>
      <c r="I44" s="20" t="s">
        <v>466</v>
      </c>
      <c r="J44" s="21">
        <v>2.8</v>
      </c>
      <c r="K44" s="20" t="s">
        <v>467</v>
      </c>
      <c r="L44" s="20" t="s">
        <v>570</v>
      </c>
    </row>
    <row r="45" spans="7:12">
      <c r="G45" s="28">
        <v>44</v>
      </c>
      <c r="H45" s="28" t="s">
        <v>508</v>
      </c>
      <c r="I45" s="28" t="s">
        <v>323</v>
      </c>
      <c r="J45" s="29" t="s">
        <v>323</v>
      </c>
      <c r="K45" s="28" t="s">
        <v>571</v>
      </c>
      <c r="L45" s="28" t="s">
        <v>572</v>
      </c>
    </row>
    <row r="46" spans="7:12">
      <c r="G46" s="20">
        <v>45</v>
      </c>
      <c r="H46" s="20" t="s">
        <v>438</v>
      </c>
      <c r="I46" s="20" t="s">
        <v>468</v>
      </c>
      <c r="J46" s="21">
        <v>2.9</v>
      </c>
      <c r="K46" s="20" t="s">
        <v>469</v>
      </c>
      <c r="L46" s="20" t="s">
        <v>573</v>
      </c>
    </row>
    <row r="47" spans="7:12">
      <c r="G47" s="26">
        <v>46</v>
      </c>
      <c r="H47" s="26" t="s">
        <v>504</v>
      </c>
      <c r="I47" s="26" t="s">
        <v>258</v>
      </c>
      <c r="J47" s="27" t="s">
        <v>258</v>
      </c>
      <c r="K47" s="26" t="s">
        <v>259</v>
      </c>
      <c r="L47" s="26" t="s">
        <v>536</v>
      </c>
    </row>
    <row r="48" spans="7:12">
      <c r="G48" s="26">
        <v>47</v>
      </c>
      <c r="H48" s="26" t="s">
        <v>504</v>
      </c>
      <c r="I48" s="26" t="s">
        <v>263</v>
      </c>
      <c r="J48" s="27" t="s">
        <v>263</v>
      </c>
      <c r="K48" s="26" t="s">
        <v>264</v>
      </c>
      <c r="L48" s="26" t="s">
        <v>572</v>
      </c>
    </row>
    <row r="49" spans="7:13">
      <c r="G49" s="28">
        <v>48</v>
      </c>
      <c r="H49" s="28" t="s">
        <v>508</v>
      </c>
      <c r="I49" s="28" t="s">
        <v>330</v>
      </c>
      <c r="J49" s="29" t="s">
        <v>330</v>
      </c>
      <c r="K49" s="28" t="s">
        <v>331</v>
      </c>
      <c r="L49" s="28" t="s">
        <v>574</v>
      </c>
    </row>
    <row r="50" spans="7:13">
      <c r="G50" s="26">
        <v>49</v>
      </c>
      <c r="H50" s="26" t="s">
        <v>504</v>
      </c>
      <c r="I50" s="26" t="s">
        <v>208</v>
      </c>
      <c r="J50" s="27" t="s">
        <v>208</v>
      </c>
      <c r="K50" s="26" t="s">
        <v>209</v>
      </c>
      <c r="L50" s="26" t="s">
        <v>549</v>
      </c>
      <c r="M50" s="16">
        <v>1</v>
      </c>
    </row>
    <row r="51" spans="7:13">
      <c r="G51" s="28">
        <v>50</v>
      </c>
      <c r="H51" s="28" t="s">
        <v>508</v>
      </c>
      <c r="I51" s="28" t="s">
        <v>347</v>
      </c>
      <c r="J51" s="29" t="s">
        <v>347</v>
      </c>
      <c r="K51" s="28" t="s">
        <v>348</v>
      </c>
      <c r="L51" s="28" t="s">
        <v>534</v>
      </c>
    </row>
    <row r="52" spans="7:13">
      <c r="G52" s="20">
        <v>51</v>
      </c>
      <c r="H52" s="20" t="s">
        <v>438</v>
      </c>
      <c r="I52" s="20" t="s">
        <v>460</v>
      </c>
      <c r="J52" s="21">
        <v>2.5</v>
      </c>
      <c r="K52" s="20" t="s">
        <v>461</v>
      </c>
      <c r="L52" s="20" t="s">
        <v>575</v>
      </c>
    </row>
    <row r="53" spans="7:13">
      <c r="G53" s="22">
        <v>52</v>
      </c>
      <c r="H53" s="22" t="s">
        <v>438</v>
      </c>
      <c r="I53" s="22" t="s">
        <v>472</v>
      </c>
      <c r="J53" s="23">
        <v>3.1</v>
      </c>
      <c r="K53" s="22" t="s">
        <v>473</v>
      </c>
      <c r="L53" s="22" t="s">
        <v>576</v>
      </c>
    </row>
    <row r="54" spans="7:13">
      <c r="G54" s="22">
        <v>53</v>
      </c>
      <c r="H54" s="22" t="s">
        <v>438</v>
      </c>
      <c r="I54" s="22" t="s">
        <v>474</v>
      </c>
      <c r="J54" s="23">
        <v>3.2</v>
      </c>
      <c r="K54" s="22" t="s">
        <v>475</v>
      </c>
      <c r="L54" s="22" t="s">
        <v>577</v>
      </c>
    </row>
    <row r="55" spans="7:13">
      <c r="G55" s="26">
        <v>54</v>
      </c>
      <c r="H55" s="26" t="s">
        <v>504</v>
      </c>
      <c r="I55" s="26" t="s">
        <v>276</v>
      </c>
      <c r="J55" s="27" t="s">
        <v>276</v>
      </c>
      <c r="K55" s="26" t="s">
        <v>277</v>
      </c>
      <c r="L55" s="26" t="s">
        <v>578</v>
      </c>
    </row>
    <row r="56" spans="7:13">
      <c r="G56" s="28">
        <v>55</v>
      </c>
      <c r="H56" s="28" t="s">
        <v>508</v>
      </c>
      <c r="I56" s="28" t="s">
        <v>344</v>
      </c>
      <c r="J56" s="29" t="s">
        <v>344</v>
      </c>
      <c r="K56" s="28" t="s">
        <v>345</v>
      </c>
      <c r="L56" s="28" t="s">
        <v>569</v>
      </c>
    </row>
    <row r="57" spans="7:13">
      <c r="G57" s="22">
        <v>56</v>
      </c>
      <c r="H57" s="22" t="s">
        <v>438</v>
      </c>
      <c r="I57" s="22" t="s">
        <v>476</v>
      </c>
      <c r="J57" s="23">
        <v>3.3</v>
      </c>
      <c r="K57" s="22" t="s">
        <v>477</v>
      </c>
      <c r="L57" s="22" t="s">
        <v>579</v>
      </c>
    </row>
    <row r="58" spans="7:13">
      <c r="G58" s="22">
        <v>57</v>
      </c>
      <c r="H58" s="22" t="s">
        <v>438</v>
      </c>
      <c r="I58" s="22" t="s">
        <v>478</v>
      </c>
      <c r="J58" s="23">
        <v>3.4</v>
      </c>
      <c r="K58" s="22" t="s">
        <v>479</v>
      </c>
      <c r="L58" s="22" t="s">
        <v>545</v>
      </c>
    </row>
    <row r="59" spans="7:13">
      <c r="G59" s="22">
        <v>58</v>
      </c>
      <c r="H59" s="22" t="s">
        <v>438</v>
      </c>
      <c r="I59" s="22" t="s">
        <v>480</v>
      </c>
      <c r="J59" s="23">
        <v>3.5</v>
      </c>
      <c r="K59" s="22" t="s">
        <v>481</v>
      </c>
      <c r="L59" s="22" t="s">
        <v>577</v>
      </c>
    </row>
    <row r="60" spans="7:13">
      <c r="G60" s="22">
        <v>59</v>
      </c>
      <c r="H60" s="22" t="s">
        <v>438</v>
      </c>
      <c r="I60" s="22" t="s">
        <v>482</v>
      </c>
      <c r="J60" s="23">
        <v>3.6</v>
      </c>
      <c r="K60" s="22" t="s">
        <v>483</v>
      </c>
      <c r="L60" s="22" t="s">
        <v>577</v>
      </c>
    </row>
    <row r="61" spans="7:13">
      <c r="G61" s="22">
        <v>60</v>
      </c>
      <c r="H61" s="22" t="s">
        <v>438</v>
      </c>
      <c r="I61" s="22" t="s">
        <v>484</v>
      </c>
      <c r="J61" s="23">
        <v>3.7</v>
      </c>
      <c r="K61" s="22" t="s">
        <v>485</v>
      </c>
      <c r="L61" s="22" t="s">
        <v>580</v>
      </c>
    </row>
    <row r="62" spans="7:13">
      <c r="G62" s="26">
        <v>61</v>
      </c>
      <c r="H62" s="26" t="s">
        <v>504</v>
      </c>
      <c r="I62" s="26" t="s">
        <v>271</v>
      </c>
      <c r="J62" s="27" t="s">
        <v>271</v>
      </c>
      <c r="K62" s="26" t="s">
        <v>581</v>
      </c>
      <c r="L62" s="26" t="s">
        <v>572</v>
      </c>
    </row>
    <row r="63" spans="7:13">
      <c r="G63" s="28">
        <v>62</v>
      </c>
      <c r="H63" s="28" t="s">
        <v>508</v>
      </c>
      <c r="I63" s="28" t="s">
        <v>340</v>
      </c>
      <c r="J63" s="29" t="s">
        <v>340</v>
      </c>
      <c r="K63" s="28" t="s">
        <v>582</v>
      </c>
      <c r="L63" s="28" t="s">
        <v>583</v>
      </c>
    </row>
    <row r="64" spans="7:13">
      <c r="G64" s="24">
        <v>63</v>
      </c>
      <c r="H64" s="24" t="s">
        <v>438</v>
      </c>
      <c r="I64" s="24" t="s">
        <v>488</v>
      </c>
      <c r="J64" s="25">
        <v>4.0999999999999996</v>
      </c>
      <c r="K64" s="24" t="s">
        <v>489</v>
      </c>
      <c r="L64" s="24" t="s">
        <v>579</v>
      </c>
    </row>
    <row r="65" spans="7:12">
      <c r="G65" s="24">
        <v>64</v>
      </c>
      <c r="H65" s="24" t="s">
        <v>438</v>
      </c>
      <c r="I65" s="24" t="s">
        <v>490</v>
      </c>
      <c r="J65" s="25">
        <v>4.2</v>
      </c>
      <c r="K65" s="24" t="s">
        <v>491</v>
      </c>
      <c r="L65" s="24" t="s">
        <v>564</v>
      </c>
    </row>
    <row r="66" spans="7:12">
      <c r="G66" s="24">
        <v>65</v>
      </c>
      <c r="H66" s="24" t="s">
        <v>438</v>
      </c>
      <c r="I66" s="24" t="s">
        <v>492</v>
      </c>
      <c r="J66" s="25">
        <v>4.3</v>
      </c>
      <c r="K66" s="24" t="s">
        <v>493</v>
      </c>
      <c r="L66" s="24" t="s">
        <v>580</v>
      </c>
    </row>
    <row r="67" spans="7:12">
      <c r="G67" s="24">
        <v>66</v>
      </c>
      <c r="H67" s="24" t="s">
        <v>438</v>
      </c>
      <c r="I67" s="24" t="s">
        <v>494</v>
      </c>
      <c r="J67" s="25">
        <v>4.4000000000000004</v>
      </c>
      <c r="K67" s="24" t="s">
        <v>495</v>
      </c>
      <c r="L67" s="24" t="s">
        <v>579</v>
      </c>
    </row>
    <row r="68" spans="7:12">
      <c r="G68" s="24">
        <v>67</v>
      </c>
      <c r="H68" s="24" t="s">
        <v>438</v>
      </c>
      <c r="I68" s="24" t="s">
        <v>496</v>
      </c>
      <c r="J68" s="25">
        <v>4.5</v>
      </c>
      <c r="K68" s="24" t="s">
        <v>497</v>
      </c>
      <c r="L68" s="24" t="s">
        <v>416</v>
      </c>
    </row>
    <row r="69" spans="7:12">
      <c r="G69" s="24">
        <v>68</v>
      </c>
      <c r="H69" s="24" t="s">
        <v>438</v>
      </c>
      <c r="I69" s="24" t="s">
        <v>498</v>
      </c>
      <c r="J69" s="25">
        <v>4.5999999999999996</v>
      </c>
      <c r="K69" s="24" t="s">
        <v>499</v>
      </c>
      <c r="L69" s="24" t="s">
        <v>416</v>
      </c>
    </row>
    <row r="70" spans="7:12">
      <c r="G70" s="24">
        <v>69</v>
      </c>
      <c r="H70" s="24" t="s">
        <v>438</v>
      </c>
      <c r="I70" s="24" t="s">
        <v>500</v>
      </c>
      <c r="J70" s="25">
        <v>4.7</v>
      </c>
      <c r="K70" s="24" t="s">
        <v>501</v>
      </c>
      <c r="L70" s="24" t="s">
        <v>560</v>
      </c>
    </row>
    <row r="71" spans="7:12">
      <c r="G71" s="26">
        <v>70</v>
      </c>
      <c r="H71" s="26" t="s">
        <v>504</v>
      </c>
      <c r="I71" s="26" t="s">
        <v>285</v>
      </c>
      <c r="J71" s="27" t="s">
        <v>285</v>
      </c>
      <c r="K71" s="26" t="s">
        <v>584</v>
      </c>
      <c r="L71" s="26" t="s">
        <v>534</v>
      </c>
    </row>
    <row r="72" spans="7:12">
      <c r="G72" s="28">
        <v>71</v>
      </c>
      <c r="H72" s="28" t="s">
        <v>508</v>
      </c>
      <c r="I72" s="28" t="s">
        <v>350</v>
      </c>
      <c r="J72" s="29" t="s">
        <v>350</v>
      </c>
      <c r="K72" s="28" t="s">
        <v>517</v>
      </c>
      <c r="L72" s="28" t="s">
        <v>585</v>
      </c>
    </row>
    <row r="73" spans="7:12">
      <c r="G73" s="28"/>
      <c r="H73" s="28"/>
      <c r="I73" s="28"/>
      <c r="J73" s="29"/>
      <c r="K73" s="28"/>
      <c r="L73" s="28"/>
    </row>
    <row r="74" spans="7:12">
      <c r="G74" s="28"/>
      <c r="H74" s="28"/>
      <c r="I74" s="28"/>
      <c r="J74" s="29"/>
      <c r="K74" s="28"/>
      <c r="L74" s="28"/>
    </row>
    <row r="79" spans="7:12">
      <c r="G79" s="28"/>
      <c r="H79" s="28"/>
      <c r="I79" s="28"/>
      <c r="J79" s="29"/>
      <c r="K79" s="28"/>
      <c r="L79" s="28"/>
    </row>
    <row r="83" spans="7:12">
      <c r="G83" s="28"/>
      <c r="H83" s="28"/>
      <c r="I83" s="28"/>
      <c r="J83" s="29"/>
      <c r="K83" s="28"/>
      <c r="L83" s="28"/>
    </row>
    <row r="84" spans="7:12">
      <c r="G84" s="28"/>
      <c r="H84" s="28"/>
      <c r="I84" s="28"/>
      <c r="J84" s="29"/>
      <c r="K84" s="28"/>
      <c r="L84" s="28"/>
    </row>
  </sheetData>
  <sortState xmlns:xlrd2="http://schemas.microsoft.com/office/spreadsheetml/2017/richdata2" ref="G2:M84">
    <sortCondition ref="G2:G84"/>
  </sortState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8"/>
  <sheetViews>
    <sheetView workbookViewId="0"/>
  </sheetViews>
  <sheetFormatPr defaultRowHeight="14.25"/>
  <cols>
    <col min="1" max="1" width="8" customWidth="1"/>
    <col min="2" max="2" width="42" customWidth="1"/>
    <col min="3" max="9" width="15" customWidth="1"/>
  </cols>
  <sheetData>
    <row r="1" spans="1:9" ht="15" customHeight="1">
      <c r="A1" s="2" t="s">
        <v>3</v>
      </c>
      <c r="B1" s="2" t="s">
        <v>26</v>
      </c>
      <c r="C1" s="5" t="s">
        <v>28</v>
      </c>
      <c r="D1" s="5" t="s">
        <v>29</v>
      </c>
      <c r="E1" s="5" t="s">
        <v>30</v>
      </c>
      <c r="F1" s="5" t="s">
        <v>31</v>
      </c>
      <c r="G1" s="5" t="s">
        <v>32</v>
      </c>
      <c r="H1" s="4" t="s">
        <v>8</v>
      </c>
      <c r="I1" s="2" t="s">
        <v>9</v>
      </c>
    </row>
    <row r="2" spans="1:9">
      <c r="A2">
        <v>1</v>
      </c>
      <c r="B2" t="s">
        <v>183</v>
      </c>
      <c r="C2">
        <f>SUMIFS('6-Week Schedule'!$G:$G,'6-Week Schedule'!$A:$A,A2)</f>
        <v>351</v>
      </c>
      <c r="D2">
        <f>SUMIFS('6-Week Schedule'!$H:$H,'6-Week Schedule'!$A:$A,A2)</f>
        <v>193</v>
      </c>
      <c r="E2">
        <f>SUMIFS('6-Week Schedule'!$I:$I,'6-Week Schedule'!$A:$A,A2)</f>
        <v>190</v>
      </c>
      <c r="F2">
        <f>SUMIFS('6-Week Schedule'!$J:$J,'6-Week Schedule'!$A:$A,A2)</f>
        <v>166</v>
      </c>
      <c r="G2">
        <f t="shared" ref="G2:G7" si="0">SUM(C2:F2)</f>
        <v>900</v>
      </c>
      <c r="H2">
        <f t="shared" ref="H2:H7" si="1">G2/60</f>
        <v>15</v>
      </c>
      <c r="I2" t="str">
        <f t="shared" ref="I2:I8" si="2">INT(G2/60)&amp;"h "&amp;TEXT(MOD(G2,60),"00")&amp;"m"</f>
        <v>15h 00m</v>
      </c>
    </row>
    <row r="3" spans="1:9">
      <c r="A3">
        <v>2</v>
      </c>
      <c r="B3" t="s">
        <v>184</v>
      </c>
      <c r="C3">
        <f>SUMIFS('6-Week Schedule'!$G:$G,'6-Week Schedule'!$A:$A,A3)</f>
        <v>393</v>
      </c>
      <c r="D3">
        <f>SUMIFS('6-Week Schedule'!$H:$H,'6-Week Schedule'!$A:$A,A3)</f>
        <v>139</v>
      </c>
      <c r="E3">
        <f>SUMIFS('6-Week Schedule'!$I:$I,'6-Week Schedule'!$A:$A,A3)</f>
        <v>194</v>
      </c>
      <c r="F3">
        <f>SUMIFS('6-Week Schedule'!$J:$J,'6-Week Schedule'!$A:$A,A3)</f>
        <v>174</v>
      </c>
      <c r="G3">
        <f t="shared" si="0"/>
        <v>900</v>
      </c>
      <c r="H3">
        <f t="shared" si="1"/>
        <v>15</v>
      </c>
      <c r="I3" t="str">
        <f t="shared" si="2"/>
        <v>15h 00m</v>
      </c>
    </row>
    <row r="4" spans="1:9">
      <c r="A4">
        <v>3</v>
      </c>
      <c r="B4" t="s">
        <v>185</v>
      </c>
      <c r="C4">
        <f>SUMIFS('6-Week Schedule'!$G:$G,'6-Week Schedule'!$A:$A,A4)</f>
        <v>410</v>
      </c>
      <c r="D4">
        <f>SUMIFS('6-Week Schedule'!$H:$H,'6-Week Schedule'!$A:$A,A4)</f>
        <v>139</v>
      </c>
      <c r="E4">
        <f>SUMIFS('6-Week Schedule'!$I:$I,'6-Week Schedule'!$A:$A,A4)</f>
        <v>204</v>
      </c>
      <c r="F4">
        <f>SUMIFS('6-Week Schedule'!$J:$J,'6-Week Schedule'!$A:$A,A4)</f>
        <v>162</v>
      </c>
      <c r="G4">
        <f t="shared" si="0"/>
        <v>915</v>
      </c>
      <c r="H4">
        <f t="shared" si="1"/>
        <v>15.25</v>
      </c>
      <c r="I4" t="str">
        <f t="shared" si="2"/>
        <v>15h 15m</v>
      </c>
    </row>
    <row r="5" spans="1:9">
      <c r="A5">
        <v>4</v>
      </c>
      <c r="B5" t="s">
        <v>186</v>
      </c>
      <c r="C5">
        <f>SUMIFS('6-Week Schedule'!$G:$G,'6-Week Schedule'!$A:$A,A5)</f>
        <v>569</v>
      </c>
      <c r="D5">
        <f>SUMIFS('6-Week Schedule'!$H:$H,'6-Week Schedule'!$A:$A,A5)</f>
        <v>95</v>
      </c>
      <c r="E5">
        <f>SUMIFS('6-Week Schedule'!$I:$I,'6-Week Schedule'!$A:$A,A5)</f>
        <v>82</v>
      </c>
      <c r="F5">
        <f>SUMIFS('6-Week Schedule'!$J:$J,'6-Week Schedule'!$A:$A,A5)</f>
        <v>184</v>
      </c>
      <c r="G5">
        <f t="shared" si="0"/>
        <v>930</v>
      </c>
      <c r="H5">
        <f t="shared" si="1"/>
        <v>15.5</v>
      </c>
      <c r="I5" t="str">
        <f t="shared" si="2"/>
        <v>15h 30m</v>
      </c>
    </row>
    <row r="6" spans="1:9">
      <c r="A6">
        <v>5</v>
      </c>
      <c r="B6" t="s">
        <v>187</v>
      </c>
      <c r="C6">
        <f>SUMIFS('6-Week Schedule'!$G:$G,'6-Week Schedule'!$A:$A,A6)</f>
        <v>388</v>
      </c>
      <c r="D6">
        <f>SUMIFS('6-Week Schedule'!$H:$H,'6-Week Schedule'!$A:$A,A6)</f>
        <v>30</v>
      </c>
      <c r="E6">
        <f>SUMIFS('6-Week Schedule'!$I:$I,'6-Week Schedule'!$A:$A,A6)</f>
        <v>105</v>
      </c>
      <c r="F6">
        <f>SUMIFS('6-Week Schedule'!$J:$J,'6-Week Schedule'!$A:$A,A6)</f>
        <v>397</v>
      </c>
      <c r="G6">
        <f t="shared" si="0"/>
        <v>920</v>
      </c>
      <c r="H6">
        <f t="shared" si="1"/>
        <v>15.333333333333334</v>
      </c>
      <c r="I6" t="str">
        <f t="shared" si="2"/>
        <v>15h 20m</v>
      </c>
    </row>
    <row r="7" spans="1:9">
      <c r="A7">
        <v>6</v>
      </c>
      <c r="B7" t="s">
        <v>188</v>
      </c>
      <c r="C7">
        <f>SUMIFS('6-Week Schedule'!$G:$G,'6-Week Schedule'!$A:$A,A7)</f>
        <v>220</v>
      </c>
      <c r="D7">
        <f>SUMIFS('6-Week Schedule'!$H:$H,'6-Week Schedule'!$A:$A,A7)</f>
        <v>151</v>
      </c>
      <c r="E7">
        <f>SUMIFS('6-Week Schedule'!$I:$I,'6-Week Schedule'!$A:$A,A7)</f>
        <v>167</v>
      </c>
      <c r="F7">
        <f>SUMIFS('6-Week Schedule'!$J:$J,'6-Week Schedule'!$A:$A,A7)</f>
        <v>367</v>
      </c>
      <c r="G7">
        <f t="shared" si="0"/>
        <v>905</v>
      </c>
      <c r="H7">
        <f t="shared" si="1"/>
        <v>15.083333333333334</v>
      </c>
      <c r="I7" t="str">
        <f t="shared" si="2"/>
        <v>15h 05m</v>
      </c>
    </row>
    <row r="8" spans="1:9" ht="15">
      <c r="A8" s="8" t="s">
        <v>18</v>
      </c>
      <c r="B8" s="8"/>
      <c r="C8" s="8">
        <f t="shared" ref="C8:H8" si="3">SUM(C2:C7)</f>
        <v>2331</v>
      </c>
      <c r="D8" s="8">
        <f t="shared" si="3"/>
        <v>747</v>
      </c>
      <c r="E8" s="8">
        <f t="shared" si="3"/>
        <v>942</v>
      </c>
      <c r="F8" s="8">
        <f t="shared" si="3"/>
        <v>1450</v>
      </c>
      <c r="G8" s="8">
        <f t="shared" si="3"/>
        <v>5470</v>
      </c>
      <c r="H8" s="8">
        <f t="shared" si="3"/>
        <v>91.166666666666657</v>
      </c>
      <c r="I8" s="8" t="str">
        <f t="shared" si="2"/>
        <v>91h 10m</v>
      </c>
    </row>
  </sheetData>
  <conditionalFormatting sqref="H2:H7">
    <cfRule type="dataBar" priority="1">
      <dataBar>
        <cfvo type="min"/>
        <cfvo type="max"/>
        <color rgb="FF4F81BD"/>
      </dataBar>
    </cfRule>
    <cfRule type="dataBar" priority="2">
      <dataBar>
        <cfvo type="min"/>
        <cfvo type="max"/>
        <color rgb="FF4F81BD"/>
      </dataBar>
      <extLst>
        <ext xmlns:x14="http://schemas.microsoft.com/office/spreadsheetml/2009/9/main" uri="{B025F937-C7B1-47D3-B67F-A62EFF666E3E}">
          <x14:id>{CAB59E76-3AD0-F7E2-9F75-3264CD8C1104}</x14:id>
        </ext>
      </extLst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CAB59E76-3AD0-F7E2-9F75-3264CD8C1104}">
            <x14:dataBar>
              <x14:cfvo type="min"/>
              <x14:cfvo type="max"/>
              <x14:negativeFillColor auto="1"/>
              <x14:axisColor auto="1"/>
            </x14:dataBar>
          </x14:cfRule>
          <xm:sqref>H2:H7</xm:sqref>
        </x14:conditionalFormatting>
      </x14:conditionalFormatting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2"/>
  <sheetViews>
    <sheetView workbookViewId="0"/>
  </sheetViews>
  <sheetFormatPr defaultRowHeight="14.25"/>
  <cols>
    <col min="1" max="1" width="10" customWidth="1"/>
    <col min="2" max="2" width="46" customWidth="1"/>
    <col min="3" max="7" width="18" customWidth="1"/>
  </cols>
  <sheetData>
    <row r="1" spans="1:7" ht="15" customHeight="1">
      <c r="A1" s="2" t="s">
        <v>189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16</v>
      </c>
    </row>
    <row r="2" spans="1:7">
      <c r="A2" t="s">
        <v>195</v>
      </c>
      <c r="B2" t="s">
        <v>196</v>
      </c>
      <c r="C2">
        <v>28</v>
      </c>
      <c r="D2" t="s">
        <v>197</v>
      </c>
      <c r="E2" t="s">
        <v>198</v>
      </c>
      <c r="F2" t="s">
        <v>199</v>
      </c>
      <c r="G2" t="s">
        <v>200</v>
      </c>
    </row>
    <row r="3" spans="1:7">
      <c r="A3" t="s">
        <v>201</v>
      </c>
      <c r="B3" t="s">
        <v>202</v>
      </c>
      <c r="C3">
        <v>24</v>
      </c>
      <c r="D3" t="s">
        <v>197</v>
      </c>
      <c r="E3" t="s">
        <v>198</v>
      </c>
      <c r="F3" t="s">
        <v>203</v>
      </c>
      <c r="G3" t="s">
        <v>200</v>
      </c>
    </row>
    <row r="4" spans="1:7">
      <c r="A4" t="s">
        <v>204</v>
      </c>
      <c r="B4" t="s">
        <v>205</v>
      </c>
      <c r="C4">
        <v>26</v>
      </c>
      <c r="D4" t="s">
        <v>197</v>
      </c>
      <c r="E4" t="s">
        <v>206</v>
      </c>
      <c r="F4" t="s">
        <v>207</v>
      </c>
      <c r="G4" t="s">
        <v>200</v>
      </c>
    </row>
    <row r="5" spans="1:7">
      <c r="A5" t="s">
        <v>208</v>
      </c>
      <c r="B5" t="s">
        <v>209</v>
      </c>
      <c r="C5">
        <v>23</v>
      </c>
      <c r="D5" t="s">
        <v>210</v>
      </c>
      <c r="E5" t="s">
        <v>211</v>
      </c>
      <c r="F5" t="s">
        <v>212</v>
      </c>
      <c r="G5" t="s">
        <v>200</v>
      </c>
    </row>
    <row r="6" spans="1:7">
      <c r="A6" t="s">
        <v>213</v>
      </c>
      <c r="B6" t="s">
        <v>214</v>
      </c>
      <c r="C6">
        <v>21</v>
      </c>
      <c r="D6" t="s">
        <v>215</v>
      </c>
      <c r="E6" t="s">
        <v>206</v>
      </c>
      <c r="F6" t="s">
        <v>216</v>
      </c>
      <c r="G6" t="s">
        <v>200</v>
      </c>
    </row>
    <row r="7" spans="1:7">
      <c r="A7" t="s">
        <v>217</v>
      </c>
      <c r="B7" t="s">
        <v>218</v>
      </c>
      <c r="C7">
        <v>21</v>
      </c>
      <c r="D7" t="s">
        <v>219</v>
      </c>
      <c r="E7" t="s">
        <v>206</v>
      </c>
      <c r="F7" t="s">
        <v>44</v>
      </c>
      <c r="G7" t="s">
        <v>200</v>
      </c>
    </row>
    <row r="8" spans="1:7">
      <c r="A8" t="s">
        <v>220</v>
      </c>
      <c r="B8" t="s">
        <v>221</v>
      </c>
      <c r="C8">
        <v>23</v>
      </c>
      <c r="D8" t="s">
        <v>222</v>
      </c>
      <c r="E8" t="s">
        <v>223</v>
      </c>
      <c r="F8" t="s">
        <v>224</v>
      </c>
      <c r="G8" t="s">
        <v>200</v>
      </c>
    </row>
    <row r="9" spans="1:7">
      <c r="A9" t="s">
        <v>225</v>
      </c>
      <c r="B9" t="s">
        <v>226</v>
      </c>
      <c r="C9">
        <v>22</v>
      </c>
      <c r="D9" t="s">
        <v>227</v>
      </c>
      <c r="E9" t="s">
        <v>228</v>
      </c>
      <c r="F9" t="s">
        <v>229</v>
      </c>
      <c r="G9" t="s">
        <v>200</v>
      </c>
    </row>
    <row r="10" spans="1:7">
      <c r="A10" t="s">
        <v>230</v>
      </c>
      <c r="B10" t="s">
        <v>231</v>
      </c>
      <c r="C10">
        <v>19</v>
      </c>
      <c r="D10" t="s">
        <v>232</v>
      </c>
      <c r="E10" t="s">
        <v>233</v>
      </c>
      <c r="F10" t="s">
        <v>234</v>
      </c>
      <c r="G10" t="s">
        <v>200</v>
      </c>
    </row>
    <row r="11" spans="1:7">
      <c r="A11" t="s">
        <v>235</v>
      </c>
      <c r="B11" t="s">
        <v>236</v>
      </c>
      <c r="C11">
        <v>22</v>
      </c>
      <c r="D11" t="s">
        <v>237</v>
      </c>
      <c r="E11" t="s">
        <v>238</v>
      </c>
      <c r="F11" t="s">
        <v>239</v>
      </c>
      <c r="G11" t="s">
        <v>200</v>
      </c>
    </row>
    <row r="12" spans="1:7">
      <c r="A12" t="s">
        <v>240</v>
      </c>
      <c r="B12" t="s">
        <v>241</v>
      </c>
      <c r="C12">
        <v>21</v>
      </c>
      <c r="D12" t="s">
        <v>242</v>
      </c>
      <c r="E12" t="s">
        <v>243</v>
      </c>
      <c r="F12" t="s">
        <v>244</v>
      </c>
      <c r="G12" t="s">
        <v>200</v>
      </c>
    </row>
    <row r="13" spans="1:7">
      <c r="A13" t="s">
        <v>245</v>
      </c>
      <c r="B13" t="s">
        <v>246</v>
      </c>
      <c r="C13">
        <v>28</v>
      </c>
      <c r="D13" t="s">
        <v>247</v>
      </c>
      <c r="E13" t="s">
        <v>238</v>
      </c>
      <c r="F13" t="s">
        <v>248</v>
      </c>
      <c r="G13" t="s">
        <v>200</v>
      </c>
    </row>
    <row r="14" spans="1:7">
      <c r="A14" t="s">
        <v>249</v>
      </c>
      <c r="B14" t="s">
        <v>250</v>
      </c>
      <c r="C14">
        <v>19</v>
      </c>
      <c r="D14" t="s">
        <v>251</v>
      </c>
      <c r="E14" t="s">
        <v>252</v>
      </c>
      <c r="F14" t="s">
        <v>253</v>
      </c>
      <c r="G14" t="s">
        <v>200</v>
      </c>
    </row>
    <row r="15" spans="1:7">
      <c r="A15" t="s">
        <v>254</v>
      </c>
      <c r="B15" t="s">
        <v>255</v>
      </c>
      <c r="C15">
        <v>22</v>
      </c>
      <c r="D15" t="s">
        <v>256</v>
      </c>
      <c r="E15" t="s">
        <v>60</v>
      </c>
      <c r="F15" t="s">
        <v>257</v>
      </c>
      <c r="G15" t="s">
        <v>200</v>
      </c>
    </row>
    <row r="16" spans="1:7">
      <c r="A16" t="s">
        <v>258</v>
      </c>
      <c r="B16" t="s">
        <v>259</v>
      </c>
      <c r="C16">
        <v>24</v>
      </c>
      <c r="D16" t="s">
        <v>260</v>
      </c>
      <c r="E16" t="s">
        <v>261</v>
      </c>
      <c r="F16" t="s">
        <v>262</v>
      </c>
      <c r="G16" t="s">
        <v>200</v>
      </c>
    </row>
    <row r="17" spans="1:7">
      <c r="A17" t="s">
        <v>263</v>
      </c>
      <c r="B17" t="s">
        <v>264</v>
      </c>
      <c r="C17">
        <v>25</v>
      </c>
      <c r="D17" t="s">
        <v>265</v>
      </c>
      <c r="E17" t="s">
        <v>211</v>
      </c>
      <c r="F17" t="s">
        <v>266</v>
      </c>
      <c r="G17" t="s">
        <v>200</v>
      </c>
    </row>
    <row r="18" spans="1:7">
      <c r="A18" t="s">
        <v>267</v>
      </c>
      <c r="B18" t="s">
        <v>268</v>
      </c>
      <c r="C18">
        <v>21</v>
      </c>
      <c r="D18" t="s">
        <v>269</v>
      </c>
      <c r="E18" t="s">
        <v>238</v>
      </c>
      <c r="F18" t="s">
        <v>270</v>
      </c>
      <c r="G18" t="s">
        <v>200</v>
      </c>
    </row>
    <row r="19" spans="1:7">
      <c r="A19" t="s">
        <v>271</v>
      </c>
      <c r="B19" t="s">
        <v>272</v>
      </c>
      <c r="C19">
        <v>25</v>
      </c>
      <c r="D19" t="s">
        <v>273</v>
      </c>
      <c r="E19" t="s">
        <v>274</v>
      </c>
      <c r="F19" t="s">
        <v>275</v>
      </c>
      <c r="G19" t="s">
        <v>200</v>
      </c>
    </row>
    <row r="20" spans="1:7">
      <c r="A20" t="s">
        <v>276</v>
      </c>
      <c r="B20" t="s">
        <v>277</v>
      </c>
      <c r="C20">
        <v>18</v>
      </c>
      <c r="D20" t="s">
        <v>278</v>
      </c>
      <c r="E20" t="s">
        <v>279</v>
      </c>
      <c r="F20" t="s">
        <v>280</v>
      </c>
      <c r="G20" t="s">
        <v>200</v>
      </c>
    </row>
    <row r="21" spans="1:7">
      <c r="A21" t="s">
        <v>281</v>
      </c>
      <c r="B21" t="s">
        <v>282</v>
      </c>
      <c r="C21">
        <v>14</v>
      </c>
      <c r="D21" t="s">
        <v>283</v>
      </c>
      <c r="E21" t="s">
        <v>233</v>
      </c>
      <c r="F21" t="s">
        <v>284</v>
      </c>
      <c r="G21" t="s">
        <v>200</v>
      </c>
    </row>
    <row r="22" spans="1:7">
      <c r="A22" t="s">
        <v>285</v>
      </c>
      <c r="B22" t="s">
        <v>286</v>
      </c>
      <c r="C22">
        <v>26</v>
      </c>
      <c r="D22" t="s">
        <v>287</v>
      </c>
      <c r="E22" t="s">
        <v>60</v>
      </c>
      <c r="F22" t="s">
        <v>176</v>
      </c>
      <c r="G22" t="s">
        <v>200</v>
      </c>
    </row>
  </sheetData>
  <pageMargins left="0.7" right="0.7" top="0.75" bottom="0.75" header="0.3" footer="0.3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"/>
  <sheetViews>
    <sheetView workbookViewId="0"/>
  </sheetViews>
  <sheetFormatPr defaultRowHeight="14.25"/>
  <cols>
    <col min="1" max="1" width="10" customWidth="1"/>
    <col min="2" max="2" width="48" customWidth="1"/>
    <col min="3" max="7" width="18" customWidth="1"/>
  </cols>
  <sheetData>
    <row r="1" spans="1:7" ht="15" customHeight="1">
      <c r="A1" s="2" t="s">
        <v>288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16</v>
      </c>
    </row>
    <row r="2" spans="1:7">
      <c r="A2" t="s">
        <v>289</v>
      </c>
      <c r="B2" t="s">
        <v>290</v>
      </c>
      <c r="C2">
        <v>24</v>
      </c>
      <c r="D2" t="s">
        <v>197</v>
      </c>
      <c r="E2" t="s">
        <v>291</v>
      </c>
      <c r="F2" t="s">
        <v>292</v>
      </c>
      <c r="G2" t="s">
        <v>200</v>
      </c>
    </row>
    <row r="3" spans="1:7">
      <c r="A3" t="s">
        <v>293</v>
      </c>
      <c r="B3" t="s">
        <v>294</v>
      </c>
      <c r="C3">
        <v>36</v>
      </c>
      <c r="D3" t="s">
        <v>215</v>
      </c>
      <c r="E3" t="s">
        <v>206</v>
      </c>
      <c r="F3" t="s">
        <v>295</v>
      </c>
      <c r="G3" t="s">
        <v>200</v>
      </c>
    </row>
    <row r="4" spans="1:7">
      <c r="A4" t="s">
        <v>296</v>
      </c>
      <c r="B4" t="s">
        <v>297</v>
      </c>
      <c r="C4">
        <v>39</v>
      </c>
      <c r="D4" t="s">
        <v>232</v>
      </c>
      <c r="E4" t="s">
        <v>233</v>
      </c>
      <c r="F4" t="s">
        <v>298</v>
      </c>
      <c r="G4" t="s">
        <v>200</v>
      </c>
    </row>
    <row r="5" spans="1:7">
      <c r="A5" t="s">
        <v>299</v>
      </c>
      <c r="B5" t="s">
        <v>300</v>
      </c>
      <c r="C5">
        <v>39</v>
      </c>
      <c r="D5" t="s">
        <v>219</v>
      </c>
      <c r="E5" t="s">
        <v>206</v>
      </c>
      <c r="F5" t="s">
        <v>301</v>
      </c>
      <c r="G5" t="s">
        <v>200</v>
      </c>
    </row>
    <row r="6" spans="1:7">
      <c r="A6" t="s">
        <v>302</v>
      </c>
      <c r="B6" t="s">
        <v>303</v>
      </c>
      <c r="C6">
        <v>37</v>
      </c>
      <c r="D6" t="s">
        <v>265</v>
      </c>
      <c r="E6" t="s">
        <v>206</v>
      </c>
      <c r="F6" t="s">
        <v>304</v>
      </c>
      <c r="G6" t="s">
        <v>200</v>
      </c>
    </row>
    <row r="7" spans="1:7">
      <c r="A7" t="s">
        <v>305</v>
      </c>
      <c r="B7" t="s">
        <v>306</v>
      </c>
      <c r="C7">
        <v>24</v>
      </c>
      <c r="D7" t="s">
        <v>222</v>
      </c>
      <c r="E7" t="s">
        <v>223</v>
      </c>
      <c r="F7" t="s">
        <v>307</v>
      </c>
      <c r="G7" t="s">
        <v>200</v>
      </c>
    </row>
    <row r="8" spans="1:7">
      <c r="A8" t="s">
        <v>308</v>
      </c>
      <c r="B8" t="s">
        <v>309</v>
      </c>
      <c r="C8">
        <v>28</v>
      </c>
      <c r="D8" t="s">
        <v>227</v>
      </c>
      <c r="E8" t="s">
        <v>223</v>
      </c>
      <c r="F8" t="s">
        <v>310</v>
      </c>
      <c r="G8" t="s">
        <v>200</v>
      </c>
    </row>
    <row r="9" spans="1:7">
      <c r="A9" t="s">
        <v>311</v>
      </c>
      <c r="B9" t="s">
        <v>312</v>
      </c>
      <c r="C9">
        <v>24</v>
      </c>
      <c r="D9" t="s">
        <v>313</v>
      </c>
      <c r="E9" t="s">
        <v>223</v>
      </c>
      <c r="F9" t="s">
        <v>314</v>
      </c>
      <c r="G9" t="s">
        <v>200</v>
      </c>
    </row>
    <row r="10" spans="1:7">
      <c r="A10" t="s">
        <v>315</v>
      </c>
      <c r="B10" t="s">
        <v>316</v>
      </c>
      <c r="C10">
        <v>44</v>
      </c>
      <c r="D10" t="s">
        <v>242</v>
      </c>
      <c r="E10" t="s">
        <v>243</v>
      </c>
      <c r="F10" t="s">
        <v>77</v>
      </c>
      <c r="G10" t="s">
        <v>200</v>
      </c>
    </row>
    <row r="11" spans="1:7">
      <c r="A11" t="s">
        <v>317</v>
      </c>
      <c r="B11" t="s">
        <v>318</v>
      </c>
      <c r="C11">
        <v>39</v>
      </c>
      <c r="D11" t="s">
        <v>247</v>
      </c>
      <c r="E11" t="s">
        <v>238</v>
      </c>
      <c r="F11" t="s">
        <v>319</v>
      </c>
      <c r="G11" t="s">
        <v>200</v>
      </c>
    </row>
    <row r="12" spans="1:7">
      <c r="A12" t="s">
        <v>320</v>
      </c>
      <c r="B12" t="s">
        <v>321</v>
      </c>
      <c r="C12">
        <v>27</v>
      </c>
      <c r="D12" t="s">
        <v>237</v>
      </c>
      <c r="E12" t="s">
        <v>238</v>
      </c>
      <c r="F12" t="s">
        <v>322</v>
      </c>
      <c r="G12" t="s">
        <v>200</v>
      </c>
    </row>
    <row r="13" spans="1:7">
      <c r="A13" t="s">
        <v>323</v>
      </c>
      <c r="B13" t="s">
        <v>324</v>
      </c>
      <c r="C13">
        <v>25</v>
      </c>
      <c r="D13" t="s">
        <v>256</v>
      </c>
      <c r="E13" t="s">
        <v>238</v>
      </c>
      <c r="F13" t="s">
        <v>325</v>
      </c>
      <c r="G13" t="s">
        <v>200</v>
      </c>
    </row>
    <row r="14" spans="1:7">
      <c r="A14" t="s">
        <v>326</v>
      </c>
      <c r="B14" t="s">
        <v>327</v>
      </c>
      <c r="C14">
        <v>30</v>
      </c>
      <c r="D14" t="s">
        <v>251</v>
      </c>
      <c r="E14" t="s">
        <v>328</v>
      </c>
      <c r="F14" t="s">
        <v>329</v>
      </c>
      <c r="G14" t="s">
        <v>200</v>
      </c>
    </row>
    <row r="15" spans="1:7">
      <c r="A15" t="s">
        <v>330</v>
      </c>
      <c r="B15" t="s">
        <v>331</v>
      </c>
      <c r="C15">
        <v>40</v>
      </c>
      <c r="D15" t="s">
        <v>260</v>
      </c>
      <c r="E15" t="s">
        <v>261</v>
      </c>
      <c r="F15" t="s">
        <v>332</v>
      </c>
      <c r="G15" t="s">
        <v>200</v>
      </c>
    </row>
    <row r="16" spans="1:7">
      <c r="A16" t="s">
        <v>333</v>
      </c>
      <c r="B16" t="s">
        <v>334</v>
      </c>
      <c r="C16">
        <v>38</v>
      </c>
      <c r="D16" t="s">
        <v>335</v>
      </c>
      <c r="E16" t="s">
        <v>238</v>
      </c>
      <c r="F16" t="s">
        <v>336</v>
      </c>
      <c r="G16" t="s">
        <v>200</v>
      </c>
    </row>
    <row r="17" spans="1:7">
      <c r="A17" t="s">
        <v>337</v>
      </c>
      <c r="B17" t="s">
        <v>338</v>
      </c>
      <c r="C17">
        <v>33</v>
      </c>
      <c r="D17" t="s">
        <v>339</v>
      </c>
      <c r="E17" t="s">
        <v>238</v>
      </c>
      <c r="F17" t="s">
        <v>104</v>
      </c>
      <c r="G17" t="s">
        <v>200</v>
      </c>
    </row>
    <row r="18" spans="1:7">
      <c r="A18" t="s">
        <v>340</v>
      </c>
      <c r="B18" t="s">
        <v>341</v>
      </c>
      <c r="C18">
        <v>29</v>
      </c>
      <c r="D18" t="s">
        <v>342</v>
      </c>
      <c r="E18" t="s">
        <v>279</v>
      </c>
      <c r="F18" t="s">
        <v>343</v>
      </c>
      <c r="G18" t="s">
        <v>200</v>
      </c>
    </row>
    <row r="19" spans="1:7">
      <c r="A19" t="s">
        <v>344</v>
      </c>
      <c r="B19" t="s">
        <v>345</v>
      </c>
      <c r="C19">
        <v>27</v>
      </c>
      <c r="D19" t="s">
        <v>278</v>
      </c>
      <c r="E19" t="s">
        <v>279</v>
      </c>
      <c r="F19" t="s">
        <v>346</v>
      </c>
      <c r="G19" t="s">
        <v>200</v>
      </c>
    </row>
    <row r="20" spans="1:7">
      <c r="A20" t="s">
        <v>347</v>
      </c>
      <c r="B20" t="s">
        <v>348</v>
      </c>
      <c r="C20">
        <v>26</v>
      </c>
      <c r="D20" t="s">
        <v>210</v>
      </c>
      <c r="E20" t="s">
        <v>211</v>
      </c>
      <c r="F20" t="s">
        <v>349</v>
      </c>
      <c r="G20" t="s">
        <v>200</v>
      </c>
    </row>
    <row r="21" spans="1:7">
      <c r="A21" t="s">
        <v>350</v>
      </c>
      <c r="B21" t="s">
        <v>351</v>
      </c>
      <c r="C21">
        <v>42</v>
      </c>
      <c r="D21" t="s">
        <v>287</v>
      </c>
      <c r="E21" t="s">
        <v>60</v>
      </c>
      <c r="F21" t="s">
        <v>176</v>
      </c>
      <c r="G21" t="s">
        <v>200</v>
      </c>
    </row>
  </sheetData>
  <pageMargins left="0.7" right="0.7" top="0.75" bottom="0.75" header="0.3" footer="0.3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6"/>
  <sheetViews>
    <sheetView workbookViewId="0"/>
  </sheetViews>
  <sheetFormatPr defaultRowHeight="14.25"/>
  <cols>
    <col min="1" max="1" width="34" customWidth="1"/>
    <col min="2" max="2" width="12" customWidth="1"/>
    <col min="3" max="6" width="34" customWidth="1"/>
  </cols>
  <sheetData>
    <row r="1" spans="1:6" ht="15" customHeight="1">
      <c r="A1" s="2" t="s">
        <v>352</v>
      </c>
      <c r="B1" s="2" t="s">
        <v>353</v>
      </c>
      <c r="C1" s="2" t="s">
        <v>354</v>
      </c>
      <c r="D1" s="2" t="s">
        <v>355</v>
      </c>
      <c r="E1" s="2" t="s">
        <v>356</v>
      </c>
      <c r="F1" s="2" t="s">
        <v>357</v>
      </c>
    </row>
    <row r="2" spans="1:6">
      <c r="A2" t="s">
        <v>358</v>
      </c>
      <c r="B2" t="s">
        <v>359</v>
      </c>
      <c r="C2" t="s">
        <v>360</v>
      </c>
      <c r="D2" t="s">
        <v>361</v>
      </c>
      <c r="E2" t="s">
        <v>362</v>
      </c>
      <c r="F2" t="s">
        <v>363</v>
      </c>
    </row>
    <row r="3" spans="1:6">
      <c r="A3" t="s">
        <v>364</v>
      </c>
      <c r="B3" t="s">
        <v>365</v>
      </c>
      <c r="C3" t="s">
        <v>366</v>
      </c>
      <c r="D3" t="s">
        <v>367</v>
      </c>
      <c r="E3" t="s">
        <v>368</v>
      </c>
      <c r="F3" t="s">
        <v>369</v>
      </c>
    </row>
    <row r="4" spans="1:6">
      <c r="A4" t="s">
        <v>370</v>
      </c>
      <c r="B4" t="s">
        <v>371</v>
      </c>
      <c r="C4" t="s">
        <v>372</v>
      </c>
      <c r="D4" t="s">
        <v>373</v>
      </c>
      <c r="E4" t="s">
        <v>374</v>
      </c>
      <c r="F4" t="s">
        <v>375</v>
      </c>
    </row>
    <row r="5" spans="1:6">
      <c r="A5" t="s">
        <v>376</v>
      </c>
      <c r="B5" t="s">
        <v>371</v>
      </c>
      <c r="C5" t="s">
        <v>377</v>
      </c>
      <c r="D5" t="s">
        <v>378</v>
      </c>
      <c r="E5" t="s">
        <v>379</v>
      </c>
      <c r="F5" t="s">
        <v>375</v>
      </c>
    </row>
    <row r="6" spans="1:6">
      <c r="A6" t="s">
        <v>380</v>
      </c>
      <c r="B6" t="s">
        <v>371</v>
      </c>
      <c r="C6" t="s">
        <v>381</v>
      </c>
      <c r="D6" t="s">
        <v>382</v>
      </c>
      <c r="E6" t="s">
        <v>383</v>
      </c>
      <c r="F6" t="s">
        <v>384</v>
      </c>
    </row>
  </sheetData>
  <pageMargins left="0.7" right="0.7" top="0.75" bottom="0.75" header="0.3" footer="0.3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5"/>
  <sheetViews>
    <sheetView workbookViewId="0"/>
  </sheetViews>
  <sheetFormatPr defaultRowHeight="14.25"/>
  <cols>
    <col min="1" max="4" width="30" customWidth="1"/>
  </cols>
  <sheetData>
    <row r="1" spans="1:4" ht="15" customHeight="1">
      <c r="A1" s="2" t="s">
        <v>385</v>
      </c>
      <c r="B1" s="2" t="s">
        <v>386</v>
      </c>
      <c r="C1" s="2" t="s">
        <v>387</v>
      </c>
      <c r="D1" s="2" t="s">
        <v>388</v>
      </c>
    </row>
    <row r="2" spans="1:4">
      <c r="A2" t="s">
        <v>389</v>
      </c>
      <c r="B2" t="s">
        <v>390</v>
      </c>
      <c r="C2" t="s">
        <v>391</v>
      </c>
      <c r="D2" t="s">
        <v>392</v>
      </c>
    </row>
    <row r="3" spans="1:4">
      <c r="A3" t="s">
        <v>393</v>
      </c>
      <c r="B3" t="s">
        <v>394</v>
      </c>
      <c r="C3" t="s">
        <v>395</v>
      </c>
      <c r="D3" t="s">
        <v>396</v>
      </c>
    </row>
    <row r="4" spans="1:4">
      <c r="A4" t="s">
        <v>397</v>
      </c>
      <c r="B4" t="s">
        <v>398</v>
      </c>
      <c r="C4" t="s">
        <v>399</v>
      </c>
      <c r="D4" t="s">
        <v>400</v>
      </c>
    </row>
    <row r="5" spans="1:4">
      <c r="A5" t="s">
        <v>401</v>
      </c>
      <c r="B5" t="s">
        <v>402</v>
      </c>
      <c r="C5" t="s">
        <v>403</v>
      </c>
      <c r="D5" t="s">
        <v>404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Sheet2</vt:lpstr>
      <vt:lpstr>Sheet2 (2)</vt:lpstr>
      <vt:lpstr>Dashboard</vt:lpstr>
      <vt:lpstr>6-Week Schedule</vt:lpstr>
      <vt:lpstr>Sheet1</vt:lpstr>
      <vt:lpstr>Sheet5</vt:lpstr>
      <vt:lpstr>Weekly Summary</vt:lpstr>
      <vt:lpstr>Udemy Concept Coverage</vt:lpstr>
      <vt:lpstr>Udemy Lab Coverage</vt:lpstr>
      <vt:lpstr>Exam Coverage Map</vt:lpstr>
      <vt:lpstr>Source 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Sadiq Hussain SYED</cp:lastModifiedBy>
  <dcterms:modified xsi:type="dcterms:W3CDTF">2026-07-02T14:30:12Z</dcterms:modified>
</cp:coreProperties>
</file>